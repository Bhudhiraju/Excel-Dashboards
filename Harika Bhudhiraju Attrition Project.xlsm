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d2b109ccb9174409/"/>
    </mc:Choice>
  </mc:AlternateContent>
  <xr:revisionPtr revIDLastSave="21" documentId="8_{AA2F6374-E540-4F68-B1B3-EC0840276B03}" xr6:coauthVersionLast="47" xr6:coauthVersionMax="47" xr10:uidLastSave="{34B8F6F1-AAC0-4CE4-A977-87B142A2F7C9}"/>
  <bookViews>
    <workbookView xWindow="-108" yWindow="-108" windowWidth="23256" windowHeight="12456" activeTab="1" xr2:uid="{00000000-000D-0000-FFFF-FFFF00000000}"/>
  </bookViews>
  <sheets>
    <sheet name="Rough" sheetId="6" r:id="rId1"/>
    <sheet name="Dashboard" sheetId="8" r:id="rId2"/>
    <sheet name="Pivot" sheetId="7" r:id="rId3"/>
    <sheet name="Data" sheetId="1" r:id="rId4"/>
  </sheets>
  <definedNames>
    <definedName name="_xlchart.v1.0" hidden="1">Pivot!$L$14:$L$17</definedName>
    <definedName name="_xlchart.v1.1" hidden="1">Pivot!$M$11:$M$13</definedName>
    <definedName name="_xlchart.v1.10" hidden="1">Pivot!$D$21:$D$22</definedName>
    <definedName name="_xlchart.v1.11" hidden="1">Pivot!$D$23:$D$28</definedName>
    <definedName name="_xlchart.v1.12" hidden="1">Pivot!$E$21:$E$22</definedName>
    <definedName name="_xlchart.v1.13" hidden="1">Pivot!$E$23:$E$28</definedName>
    <definedName name="_xlchart.v1.2" hidden="1">Pivot!$M$14:$M$17</definedName>
    <definedName name="_xlchart.v1.3" hidden="1">Pivot!$N$11:$N$13</definedName>
    <definedName name="_xlchart.v1.4" hidden="1">Pivot!$N$14:$N$17</definedName>
    <definedName name="_xlchart.v1.5" hidden="1">Pivot!$O$11:$O$13</definedName>
    <definedName name="_xlchart.v1.6" hidden="1">Pivot!$O$14:$O$17</definedName>
    <definedName name="_xlchart.v1.7" hidden="1">Pivot!$B$23:$B$28</definedName>
    <definedName name="_xlchart.v1.8" hidden="1">Pivot!$C$21:$C$22</definedName>
    <definedName name="_xlchart.v1.9" hidden="1">Pivot!$C$23:$C$28</definedName>
    <definedName name="Slicer_Department">#N/A</definedName>
    <definedName name="Slicer_Gender">#N/A</definedName>
  </definedNames>
  <calcPr calcId="191028"/>
  <pivotCaches>
    <pivotCache cacheId="26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4" i="6" l="1"/>
  <c r="L6" i="6" s="1"/>
  <c r="A6" i="6"/>
  <c r="G5" i="6"/>
  <c r="D6" i="6"/>
  <c r="J5" i="6"/>
</calcChain>
</file>

<file path=xl/sharedStrings.xml><?xml version="1.0" encoding="utf-8"?>
<sst xmlns="http://schemas.openxmlformats.org/spreadsheetml/2006/main" count="1715" uniqueCount="254">
  <si>
    <t>Attrition</t>
  </si>
  <si>
    <t>Yes</t>
  </si>
  <si>
    <t>(All)</t>
  </si>
  <si>
    <t>No</t>
  </si>
  <si>
    <t>Count of Attrition</t>
  </si>
  <si>
    <t>Count of EmployeeID</t>
  </si>
  <si>
    <t>Count of Active Employees</t>
  </si>
  <si>
    <t>Average of Age</t>
  </si>
  <si>
    <t>Attrition Rate</t>
  </si>
  <si>
    <t>Attrition Rate by Department</t>
  </si>
  <si>
    <t>Attrition by Job Role</t>
  </si>
  <si>
    <t>Salary by Attrition Status</t>
  </si>
  <si>
    <t>Attrition by Age Group</t>
  </si>
  <si>
    <t>Attrition by Gender</t>
  </si>
  <si>
    <t>Attrition by Education Level</t>
  </si>
  <si>
    <t>Attrition by Marital Status</t>
  </si>
  <si>
    <t>Salary Range by Department or Job Role</t>
  </si>
  <si>
    <t>Department</t>
  </si>
  <si>
    <t>JobRole</t>
  </si>
  <si>
    <t>Grand Total</t>
  </si>
  <si>
    <t>Average of Salary</t>
  </si>
  <si>
    <t>AgeGroup</t>
  </si>
  <si>
    <t>Finance</t>
  </si>
  <si>
    <t>Analyst</t>
  </si>
  <si>
    <t>20-29</t>
  </si>
  <si>
    <t>HR</t>
  </si>
  <si>
    <t>Engineer</t>
  </si>
  <si>
    <t>30-39</t>
  </si>
  <si>
    <t>IT</t>
  </si>
  <si>
    <t>Executive</t>
  </si>
  <si>
    <t>40-49</t>
  </si>
  <si>
    <t>R&amp;D</t>
  </si>
  <si>
    <t>Manager</t>
  </si>
  <si>
    <t>50-59</t>
  </si>
  <si>
    <t>Sales</t>
  </si>
  <si>
    <t>Technician</t>
  </si>
  <si>
    <t>MaritalStatus</t>
  </si>
  <si>
    <t>Gender</t>
  </si>
  <si>
    <t>Education</t>
  </si>
  <si>
    <t>Divorced</t>
  </si>
  <si>
    <t>Female</t>
  </si>
  <si>
    <t>Bachelors</t>
  </si>
  <si>
    <t>Married</t>
  </si>
  <si>
    <t>Male</t>
  </si>
  <si>
    <t>High School</t>
  </si>
  <si>
    <t>Single</t>
  </si>
  <si>
    <t>Masters</t>
  </si>
  <si>
    <t>PhD</t>
  </si>
  <si>
    <t xml:space="preserve">Salary Range by Department </t>
  </si>
  <si>
    <t>Max of Salary</t>
  </si>
  <si>
    <t>Min of Salary</t>
  </si>
  <si>
    <t>EmployeeID</t>
  </si>
  <si>
    <t>Age</t>
  </si>
  <si>
    <t>Salary</t>
  </si>
  <si>
    <t>EMP1000</t>
  </si>
  <si>
    <t>EMP1001</t>
  </si>
  <si>
    <t>EMP1002</t>
  </si>
  <si>
    <t>EMP1003</t>
  </si>
  <si>
    <t>EMP1004</t>
  </si>
  <si>
    <t>EMP1005</t>
  </si>
  <si>
    <t>EMP1006</t>
  </si>
  <si>
    <t>EMP1007</t>
  </si>
  <si>
    <t>EMP1008</t>
  </si>
  <si>
    <t>EMP1009</t>
  </si>
  <si>
    <t>EMP1010</t>
  </si>
  <si>
    <t>EMP1011</t>
  </si>
  <si>
    <t>EMP1012</t>
  </si>
  <si>
    <t>EMP1013</t>
  </si>
  <si>
    <t>EMP1014</t>
  </si>
  <si>
    <t>EMP1015</t>
  </si>
  <si>
    <t>EMP1016</t>
  </si>
  <si>
    <t>EMP1017</t>
  </si>
  <si>
    <t>EMP1018</t>
  </si>
  <si>
    <t>EMP1019</t>
  </si>
  <si>
    <t>EMP1020</t>
  </si>
  <si>
    <t>EMP1021</t>
  </si>
  <si>
    <t>EMP1022</t>
  </si>
  <si>
    <t>EMP1023</t>
  </si>
  <si>
    <t>EMP1024</t>
  </si>
  <si>
    <t>EMP1025</t>
  </si>
  <si>
    <t>EMP1026</t>
  </si>
  <si>
    <t>EMP1027</t>
  </si>
  <si>
    <t>EMP1028</t>
  </si>
  <si>
    <t>EMP1029</t>
  </si>
  <si>
    <t>EMP1030</t>
  </si>
  <si>
    <t>EMP1031</t>
  </si>
  <si>
    <t>EMP1032</t>
  </si>
  <si>
    <t>EMP1033</t>
  </si>
  <si>
    <t>EMP1034</t>
  </si>
  <si>
    <t>EMP1035</t>
  </si>
  <si>
    <t>EMP1036</t>
  </si>
  <si>
    <t>EMP1037</t>
  </si>
  <si>
    <t>EMP1038</t>
  </si>
  <si>
    <t>EMP1039</t>
  </si>
  <si>
    <t>EMP1040</t>
  </si>
  <si>
    <t>EMP1041</t>
  </si>
  <si>
    <t>EMP1042</t>
  </si>
  <si>
    <t>EMP1043</t>
  </si>
  <si>
    <t>EMP1044</t>
  </si>
  <si>
    <t>EMP1045</t>
  </si>
  <si>
    <t>EMP1046</t>
  </si>
  <si>
    <t>EMP1047</t>
  </si>
  <si>
    <t>EMP1048</t>
  </si>
  <si>
    <t>EMP1049</t>
  </si>
  <si>
    <t>EMP1050</t>
  </si>
  <si>
    <t>EMP1051</t>
  </si>
  <si>
    <t>EMP1052</t>
  </si>
  <si>
    <t>EMP1053</t>
  </si>
  <si>
    <t>EMP1054</t>
  </si>
  <si>
    <t>EMP1055</t>
  </si>
  <si>
    <t>EMP1056</t>
  </si>
  <si>
    <t>EMP1057</t>
  </si>
  <si>
    <t>EMP1058</t>
  </si>
  <si>
    <t>EMP1059</t>
  </si>
  <si>
    <t>EMP1060</t>
  </si>
  <si>
    <t>EMP1061</t>
  </si>
  <si>
    <t>EMP1062</t>
  </si>
  <si>
    <t>EMP1063</t>
  </si>
  <si>
    <t>EMP1064</t>
  </si>
  <si>
    <t>EMP1065</t>
  </si>
  <si>
    <t>EMP1066</t>
  </si>
  <si>
    <t>EMP1067</t>
  </si>
  <si>
    <t>EMP1068</t>
  </si>
  <si>
    <t>EMP1069</t>
  </si>
  <si>
    <t>EMP1070</t>
  </si>
  <si>
    <t>EMP1071</t>
  </si>
  <si>
    <t>EMP1072</t>
  </si>
  <si>
    <t>EMP1073</t>
  </si>
  <si>
    <t>EMP1074</t>
  </si>
  <si>
    <t>EMP1075</t>
  </si>
  <si>
    <t>EMP1076</t>
  </si>
  <si>
    <t>EMP1077</t>
  </si>
  <si>
    <t>EMP1078</t>
  </si>
  <si>
    <t>EMP1079</t>
  </si>
  <si>
    <t>EMP1080</t>
  </si>
  <si>
    <t>EMP1081</t>
  </si>
  <si>
    <t>EMP1082</t>
  </si>
  <si>
    <t>EMP1083</t>
  </si>
  <si>
    <t>EMP1084</t>
  </si>
  <si>
    <t>EMP1085</t>
  </si>
  <si>
    <t>EMP1086</t>
  </si>
  <si>
    <t>EMP1087</t>
  </si>
  <si>
    <t>EMP1088</t>
  </si>
  <si>
    <t>EMP1089</t>
  </si>
  <si>
    <t>EMP1090</t>
  </si>
  <si>
    <t>EMP1091</t>
  </si>
  <si>
    <t>EMP1092</t>
  </si>
  <si>
    <t>EMP1093</t>
  </si>
  <si>
    <t>EMP1094</t>
  </si>
  <si>
    <t>EMP1095</t>
  </si>
  <si>
    <t>EMP1096</t>
  </si>
  <si>
    <t>EMP1097</t>
  </si>
  <si>
    <t>EMP1098</t>
  </si>
  <si>
    <t>EMP1099</t>
  </si>
  <si>
    <t>EMP1100</t>
  </si>
  <si>
    <t>EMP1101</t>
  </si>
  <si>
    <t>EMP1102</t>
  </si>
  <si>
    <t>EMP1103</t>
  </si>
  <si>
    <t>EMP1104</t>
  </si>
  <si>
    <t>EMP1105</t>
  </si>
  <si>
    <t>EMP1106</t>
  </si>
  <si>
    <t>EMP1107</t>
  </si>
  <si>
    <t>EMP1108</t>
  </si>
  <si>
    <t>EMP1109</t>
  </si>
  <si>
    <t>EMP1110</t>
  </si>
  <si>
    <t>EMP1111</t>
  </si>
  <si>
    <t>EMP1112</t>
  </si>
  <si>
    <t>EMP1113</t>
  </si>
  <si>
    <t>EMP1114</t>
  </si>
  <si>
    <t>EMP1115</t>
  </si>
  <si>
    <t>EMP1116</t>
  </si>
  <si>
    <t>EMP1117</t>
  </si>
  <si>
    <t>EMP1118</t>
  </si>
  <si>
    <t>EMP1119</t>
  </si>
  <si>
    <t>EMP1120</t>
  </si>
  <si>
    <t>EMP1121</t>
  </si>
  <si>
    <t>EMP1122</t>
  </si>
  <si>
    <t>EMP1123</t>
  </si>
  <si>
    <t>EMP1124</t>
  </si>
  <si>
    <t>EMP1125</t>
  </si>
  <si>
    <t>EMP1126</t>
  </si>
  <si>
    <t>EMP1127</t>
  </si>
  <si>
    <t>EMP1128</t>
  </si>
  <si>
    <t>EMP1129</t>
  </si>
  <si>
    <t>EMP1130</t>
  </si>
  <si>
    <t>EMP1131</t>
  </si>
  <si>
    <t>EMP1132</t>
  </si>
  <si>
    <t>EMP1133</t>
  </si>
  <si>
    <t>EMP1134</t>
  </si>
  <si>
    <t>EMP1135</t>
  </si>
  <si>
    <t>EMP1136</t>
  </si>
  <si>
    <t>EMP1137</t>
  </si>
  <si>
    <t>EMP1138</t>
  </si>
  <si>
    <t>EMP1139</t>
  </si>
  <si>
    <t>EMP1140</t>
  </si>
  <si>
    <t>EMP1141</t>
  </si>
  <si>
    <t>EMP1142</t>
  </si>
  <si>
    <t>EMP1143</t>
  </si>
  <si>
    <t>EMP1144</t>
  </si>
  <si>
    <t>EMP1145</t>
  </si>
  <si>
    <t>EMP1146</t>
  </si>
  <si>
    <t>EMP1147</t>
  </si>
  <si>
    <t>EMP1148</t>
  </si>
  <si>
    <t>EMP1149</t>
  </si>
  <si>
    <t>EMP1150</t>
  </si>
  <si>
    <t>EMP1151</t>
  </si>
  <si>
    <t>EMP1152</t>
  </si>
  <si>
    <t>EMP1153</t>
  </si>
  <si>
    <t>EMP1154</t>
  </si>
  <si>
    <t>EMP1155</t>
  </si>
  <si>
    <t>EMP1156</t>
  </si>
  <si>
    <t>EMP1157</t>
  </si>
  <si>
    <t>EMP1158</t>
  </si>
  <si>
    <t>EMP1159</t>
  </si>
  <si>
    <t>EMP1160</t>
  </si>
  <si>
    <t>EMP1161</t>
  </si>
  <si>
    <t>EMP1162</t>
  </si>
  <si>
    <t>EMP1163</t>
  </si>
  <si>
    <t>EMP1164</t>
  </si>
  <si>
    <t>EMP1165</t>
  </si>
  <si>
    <t>EMP1166</t>
  </si>
  <si>
    <t>EMP1167</t>
  </si>
  <si>
    <t>EMP1168</t>
  </si>
  <si>
    <t>EMP1169</t>
  </si>
  <si>
    <t>EMP1170</t>
  </si>
  <si>
    <t>EMP1171</t>
  </si>
  <si>
    <t>EMP1172</t>
  </si>
  <si>
    <t>EMP1173</t>
  </si>
  <si>
    <t>EMP1174</t>
  </si>
  <si>
    <t>EMP1175</t>
  </si>
  <si>
    <t>EMP1176</t>
  </si>
  <si>
    <t>EMP1177</t>
  </si>
  <si>
    <t>EMP1178</t>
  </si>
  <si>
    <t>EMP1179</t>
  </si>
  <si>
    <t>EMP1180</t>
  </si>
  <si>
    <t>EMP1181</t>
  </si>
  <si>
    <t>EMP1182</t>
  </si>
  <si>
    <t>EMP1183</t>
  </si>
  <si>
    <t>EMP1184</t>
  </si>
  <si>
    <t>EMP1185</t>
  </si>
  <si>
    <t>EMP1186</t>
  </si>
  <si>
    <t>EMP1187</t>
  </si>
  <si>
    <t>EMP1188</t>
  </si>
  <si>
    <t>EMP1189</t>
  </si>
  <si>
    <t>EMP1190</t>
  </si>
  <si>
    <t>EMP1191</t>
  </si>
  <si>
    <t>EMP1192</t>
  </si>
  <si>
    <t>EMP1193</t>
  </si>
  <si>
    <t>EMP1194</t>
  </si>
  <si>
    <t>EMP1195</t>
  </si>
  <si>
    <t>EMP1196</t>
  </si>
  <si>
    <t>EMP1197</t>
  </si>
  <si>
    <t>EMP1198</t>
  </si>
  <si>
    <t>EMP1199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</si>
</sst>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409]* #,##0_ ;_-[$$-409]* \-#,##0\ ;_-[$$-409]* &quot;-&quot;??_ ;_-@_ "/>
  </numFmts>
  <fonts count="5" x14ac:knownFonts="1">
    <font>
      <sz val="11"/>
      <color theme="1"/>
      <name val="Calibri"/>
      <family val="2"/>
      <scheme val="minor"/>
    </font>
    <font>
      <b/>
      <sz val="11"/>
      <name val="Calibri"/>
      <family val="2"/>
    </font>
    <font>
      <sz val="11"/>
      <color theme="1"/>
      <name val="Calibri"/>
      <family val="2"/>
      <scheme val="minor"/>
    </font>
    <font>
      <b/>
      <sz val="11"/>
      <color theme="1"/>
      <name val="Calibri"/>
      <family val="2"/>
      <scheme val="minor"/>
    </font>
    <font>
      <b/>
      <sz val="12"/>
      <color theme="1"/>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9">
    <border>
      <left/>
      <right/>
      <top/>
      <bottom/>
      <diagonal/>
    </border>
    <border>
      <left style="thin">
        <color auto="1"/>
      </left>
      <right style="thin">
        <color auto="1"/>
      </right>
      <top/>
      <bottom style="thin">
        <color auto="1"/>
      </bottom>
      <diagonal/>
    </border>
    <border>
      <left/>
      <right/>
      <top/>
      <bottom style="thin">
        <color theme="4" tint="0.39997558519241921"/>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right/>
      <top style="medium">
        <color rgb="FF000000"/>
      </top>
      <bottom style="medium">
        <color rgb="FF000000"/>
      </bottom>
      <diagonal/>
    </border>
  </borders>
  <cellStyleXfs count="2">
    <xf numFmtId="0" fontId="0" fillId="0" borderId="0"/>
    <xf numFmtId="9" fontId="2" fillId="0" borderId="0" applyFont="0" applyFill="0" applyBorder="0" applyAlignment="0" applyProtection="0"/>
  </cellStyleXfs>
  <cellXfs count="23">
    <xf numFmtId="0" fontId="0" fillId="0" borderId="0" xfId="0"/>
    <xf numFmtId="0" fontId="0" fillId="0" borderId="0" xfId="0" applyAlignment="1">
      <alignment horizontal="center" vertical="center"/>
    </xf>
    <xf numFmtId="0" fontId="1" fillId="0" borderId="1" xfId="0" applyFont="1" applyBorder="1" applyAlignment="1">
      <alignment horizontal="center" vertical="center"/>
    </xf>
    <xf numFmtId="0" fontId="3" fillId="2" borderId="2" xfId="0" applyFont="1" applyFill="1" applyBorder="1"/>
    <xf numFmtId="0" fontId="0" fillId="0" borderId="0" xfId="0" pivotButton="1"/>
    <xf numFmtId="1" fontId="0" fillId="0" borderId="0" xfId="0" applyNumberFormat="1"/>
    <xf numFmtId="9" fontId="0" fillId="0" borderId="0" xfId="1" applyFont="1"/>
    <xf numFmtId="0" fontId="0" fillId="0" borderId="0" xfId="0" applyAlignment="1">
      <alignment wrapText="1"/>
    </xf>
    <xf numFmtId="164" fontId="0" fillId="0" borderId="0" xfId="0" applyNumberFormat="1"/>
    <xf numFmtId="9" fontId="0" fillId="0" borderId="0" xfId="0" applyNumberFormat="1"/>
    <xf numFmtId="0" fontId="0" fillId="0" borderId="0" xfId="1" applyNumberFormat="1" applyFont="1"/>
    <xf numFmtId="0" fontId="4" fillId="0" borderId="3" xfId="0" applyFont="1" applyBorder="1" applyAlignment="1">
      <alignment horizontal="left" vertical="center" wrapText="1" indent="2"/>
    </xf>
    <xf numFmtId="0" fontId="4" fillId="0" borderId="4" xfId="0" applyFont="1" applyBorder="1" applyAlignment="1">
      <alignment horizontal="left" vertical="center" wrapText="1" indent="2"/>
    </xf>
    <xf numFmtId="0" fontId="4" fillId="0" borderId="3" xfId="0" applyFont="1" applyBorder="1" applyAlignment="1">
      <alignment horizontal="center" vertical="center" wrapText="1"/>
    </xf>
    <xf numFmtId="0" fontId="4" fillId="0" borderId="8" xfId="0" applyFont="1" applyBorder="1" applyAlignment="1">
      <alignment horizontal="center" vertical="center" wrapText="1"/>
    </xf>
    <xf numFmtId="0" fontId="4" fillId="0" borderId="4" xfId="0" applyFont="1" applyBorder="1" applyAlignment="1">
      <alignment horizontal="center" vertical="center" wrapText="1"/>
    </xf>
    <xf numFmtId="0" fontId="4" fillId="0" borderId="5" xfId="0" applyFont="1" applyBorder="1" applyAlignment="1">
      <alignment horizontal="center" wrapText="1"/>
    </xf>
    <xf numFmtId="0" fontId="4" fillId="0" borderId="6" xfId="0" applyFont="1" applyBorder="1" applyAlignment="1">
      <alignment horizontal="center" wrapText="1"/>
    </xf>
    <xf numFmtId="0" fontId="4" fillId="0" borderId="7" xfId="0" applyFont="1" applyBorder="1" applyAlignment="1">
      <alignment horizontal="center" wrapText="1"/>
    </xf>
    <xf numFmtId="0" fontId="4" fillId="0" borderId="3" xfId="0" applyFont="1" applyBorder="1" applyAlignment="1">
      <alignment horizontal="center" wrapText="1"/>
    </xf>
    <xf numFmtId="0" fontId="4" fillId="0" borderId="8" xfId="0" applyFont="1" applyBorder="1" applyAlignment="1">
      <alignment horizontal="center" wrapText="1"/>
    </xf>
    <xf numFmtId="0" fontId="4" fillId="0" borderId="4" xfId="0" applyFont="1" applyBorder="1" applyAlignment="1">
      <alignment horizontal="center" wrapText="1"/>
    </xf>
    <xf numFmtId="0" fontId="0" fillId="0" borderId="0" xfId="0" applyNumberFormat="1"/>
  </cellXfs>
  <cellStyles count="2">
    <cellStyle name="Normal" xfId="0" builtinId="0"/>
    <cellStyle name="Percent" xfId="1" builtinId="5"/>
  </cellStyles>
  <dxfs count="21">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auto="1"/>
        </top>
      </border>
    </dxf>
    <dxf>
      <alignment horizontal="center" vertical="center" textRotation="0" wrapText="0" indent="0" justifyLastLine="0" shrinkToFit="0" readingOrder="0"/>
    </dxf>
    <dxf>
      <border outline="0">
        <bottom style="thin">
          <color auto="1"/>
        </bottom>
      </border>
    </dxf>
    <dxf>
      <font>
        <b/>
        <i val="0"/>
        <strike val="0"/>
        <condense val="0"/>
        <extend val="0"/>
        <outline val="0"/>
        <shadow val="0"/>
        <u val="none"/>
        <vertAlign val="baseline"/>
        <sz val="11"/>
        <color auto="1"/>
        <name val="Calibri"/>
        <scheme val="none"/>
      </font>
      <alignment horizontal="center" vertical="center" textRotation="0" wrapText="0" indent="0" justifyLastLine="0" shrinkToFit="0" readingOrder="0"/>
      <border diagonalUp="0" diagonalDown="0" outline="0">
        <left style="thin">
          <color auto="1"/>
        </left>
        <right style="thin">
          <color auto="1"/>
        </right>
        <top/>
        <bottom/>
      </border>
    </dxf>
    <dxf>
      <numFmt numFmtId="1" formatCode="0"/>
    </dxf>
    <dxf>
      <numFmt numFmtId="164" formatCode="_-[$$-409]* #,##0_ ;_-[$$-409]* \-#,##0\ ;_-[$$-409]* &quot;-&quot;??_ ;_-@_ "/>
    </dxf>
    <dxf>
      <numFmt numFmtId="1" formatCode="0"/>
    </dxf>
    <dxf>
      <numFmt numFmtId="1" formatCode="0"/>
    </dxf>
    <dxf>
      <numFmt numFmtId="1" formatCode="0"/>
    </dxf>
    <dxf>
      <fill>
        <patternFill>
          <fgColor theme="0"/>
          <bgColor rgb="FF1E3A8A"/>
        </patternFill>
      </fill>
    </dxf>
    <dxf>
      <font>
        <b/>
        <i val="0"/>
        <sz val="12"/>
        <color theme="0"/>
      </font>
      <fill>
        <patternFill patternType="solid">
          <fgColor auto="1"/>
          <bgColor rgb="FF14B8A6"/>
        </patternFill>
      </fill>
      <border diagonalUp="0" diagonalDown="0">
        <left/>
        <right/>
        <top/>
        <bottom/>
        <vertical/>
        <horizontal/>
      </border>
    </dxf>
  </dxfs>
  <tableStyles count="1" defaultTableStyle="TableStyleMedium9" defaultPivotStyle="PivotStyleLight16">
    <tableStyle name="Slicer Style 1" pivot="0" table="0" count="5" xr9:uid="{9073216D-09AD-44EB-82C6-3E5268029C67}">
      <tableStyleElement type="wholeTable" dxfId="20"/>
      <tableStyleElement type="headerRow" dxfId="19"/>
    </tableStyle>
  </tableStyles>
  <colors>
    <mruColors>
      <color rgb="FFFEA0D1"/>
      <color rgb="FF14B8A6"/>
      <color rgb="FFFF0066"/>
      <color rgb="FF009688"/>
      <color rgb="FF1E3A8A"/>
      <color rgb="FFFF3399"/>
      <color rgb="FFFF0D41"/>
      <color rgb="FFF5798B"/>
      <color rgb="FFF8769E"/>
    </mruColors>
  </colors>
  <extLst>
    <ext xmlns:x14="http://schemas.microsoft.com/office/spreadsheetml/2009/9/main" uri="{46F421CA-312F-682f-3DD2-61675219B42D}">
      <x14:dxfs count="3">
        <dxf>
          <fill>
            <patternFill>
              <fgColor theme="0"/>
              <bgColor theme="7" tint="-0.499984740745262"/>
            </patternFill>
          </fill>
        </dxf>
        <dxf>
          <fill>
            <patternFill>
              <fgColor theme="0"/>
              <bgColor rgb="FF1E3A8A"/>
            </patternFill>
          </fill>
        </dxf>
        <dxf>
          <fill>
            <patternFill>
              <bgColor theme="7" tint="0.79998168889431442"/>
            </patternFill>
          </fill>
        </dxf>
      </x14:dxfs>
    </ext>
    <ext xmlns:x14="http://schemas.microsoft.com/office/spreadsheetml/2009/9/main" uri="{EB79DEF2-80B8-43e5-95BD-54CBDDF9020C}">
      <x14:slicerStyles defaultSlicerStyle="SlicerStyleDark6">
        <x14:slicerStyle name="Slicer Style 1">
          <x14:slicerStyleElements>
            <x14:slicerStyleElement type="unselectedItemWith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[Harika Bhudhiraju Attrition Project.xlsm]Pivot!PivotTable4</c:name>
    <c:fmtId val="21"/>
  </c:pivotSource>
  <c:chart>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manualLayout>
          <c:layoutTarget val="inner"/>
          <c:xMode val="edge"/>
          <c:yMode val="edge"/>
          <c:x val="5.8949624866023578E-2"/>
          <c:y val="0.33067226085790374"/>
          <c:w val="0.58065380493033214"/>
          <c:h val="0.32953163017031623"/>
        </c:manualLayout>
      </c:layout>
      <c:doughnutChart>
        <c:varyColors val="1"/>
        <c:ser>
          <c:idx val="0"/>
          <c:order val="0"/>
          <c:tx>
            <c:strRef>
              <c:f>Pivot!$N$2:$N$3</c:f>
              <c:strCache>
                <c:ptCount val="1"/>
                <c:pt idx="0">
                  <c:v>No</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82DE-413B-BC11-B50A946FEA45}"/>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82DE-413B-BC11-B50A946FEA45}"/>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82DE-413B-BC11-B50A946FEA45}"/>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82DE-413B-BC11-B50A946FEA45}"/>
              </c:ext>
            </c:extLst>
          </c:dPt>
          <c:cat>
            <c:strRef>
              <c:f>Pivot!$M$4:$M$7</c:f>
              <c:strCache>
                <c:ptCount val="4"/>
                <c:pt idx="0">
                  <c:v>20-29</c:v>
                </c:pt>
                <c:pt idx="1">
                  <c:v>30-39</c:v>
                </c:pt>
                <c:pt idx="2">
                  <c:v>40-49</c:v>
                </c:pt>
                <c:pt idx="3">
                  <c:v>50-59</c:v>
                </c:pt>
              </c:strCache>
            </c:strRef>
          </c:cat>
          <c:val>
            <c:numRef>
              <c:f>Pivot!$N$4:$N$7</c:f>
              <c:numCache>
                <c:formatCode>General</c:formatCode>
                <c:ptCount val="4"/>
                <c:pt idx="0">
                  <c:v>32</c:v>
                </c:pt>
                <c:pt idx="1">
                  <c:v>32</c:v>
                </c:pt>
                <c:pt idx="2">
                  <c:v>45</c:v>
                </c:pt>
                <c:pt idx="3">
                  <c:v>37</c:v>
                </c:pt>
              </c:numCache>
            </c:numRef>
          </c:val>
          <c:extLst>
            <c:ext xmlns:c16="http://schemas.microsoft.com/office/drawing/2014/chart" uri="{C3380CC4-5D6E-409C-BE32-E72D297353CC}">
              <c16:uniqueId val="{00000008-82DE-413B-BC11-B50A946FEA45}"/>
            </c:ext>
          </c:extLst>
        </c:ser>
        <c:ser>
          <c:idx val="1"/>
          <c:order val="1"/>
          <c:tx>
            <c:strRef>
              <c:f>Pivot!$O$2:$O$3</c:f>
              <c:strCache>
                <c:ptCount val="1"/>
                <c:pt idx="0">
                  <c:v>Yes</c:v>
                </c:pt>
              </c:strCache>
            </c:strRef>
          </c:tx>
          <c:explosion val="23"/>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82DE-413B-BC11-B50A946FEA45}"/>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82DE-413B-BC11-B50A946FEA45}"/>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82DE-413B-BC11-B50A946FEA45}"/>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0-82DE-413B-BC11-B50A946FEA45}"/>
              </c:ext>
            </c:extLst>
          </c:dPt>
          <c:cat>
            <c:strRef>
              <c:f>Pivot!$M$4:$M$7</c:f>
              <c:strCache>
                <c:ptCount val="4"/>
                <c:pt idx="0">
                  <c:v>20-29</c:v>
                </c:pt>
                <c:pt idx="1">
                  <c:v>30-39</c:v>
                </c:pt>
                <c:pt idx="2">
                  <c:v>40-49</c:v>
                </c:pt>
                <c:pt idx="3">
                  <c:v>50-59</c:v>
                </c:pt>
              </c:strCache>
            </c:strRef>
          </c:cat>
          <c:val>
            <c:numRef>
              <c:f>Pivot!$O$4:$O$7</c:f>
              <c:numCache>
                <c:formatCode>General</c:formatCode>
                <c:ptCount val="4"/>
                <c:pt idx="0">
                  <c:v>17</c:v>
                </c:pt>
                <c:pt idx="1">
                  <c:v>13</c:v>
                </c:pt>
                <c:pt idx="2">
                  <c:v>12</c:v>
                </c:pt>
                <c:pt idx="3">
                  <c:v>12</c:v>
                </c:pt>
              </c:numCache>
            </c:numRef>
          </c:val>
          <c:extLst>
            <c:ext xmlns:c16="http://schemas.microsoft.com/office/drawing/2014/chart" uri="{C3380CC4-5D6E-409C-BE32-E72D297353CC}">
              <c16:uniqueId val="{00000011-82DE-413B-BC11-B50A946FEA45}"/>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[Harika Bhudhiraju Attrition Project.xlsm]Pivot!PivotTable2</c:name>
    <c:fmtId val="8"/>
  </c:pivotSource>
  <c:chart>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Pivot!$F$2:$F$3</c:f>
              <c:strCache>
                <c:ptCount val="1"/>
                <c:pt idx="0">
                  <c:v>No</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Pivot!$E$4:$E$9</c:f>
              <c:strCache>
                <c:ptCount val="5"/>
                <c:pt idx="0">
                  <c:v>Analyst</c:v>
                </c:pt>
                <c:pt idx="1">
                  <c:v>Engineer</c:v>
                </c:pt>
                <c:pt idx="2">
                  <c:v>Executive</c:v>
                </c:pt>
                <c:pt idx="3">
                  <c:v>Manager</c:v>
                </c:pt>
                <c:pt idx="4">
                  <c:v>Technician</c:v>
                </c:pt>
              </c:strCache>
            </c:strRef>
          </c:cat>
          <c:val>
            <c:numRef>
              <c:f>Pivot!$F$4:$F$9</c:f>
              <c:numCache>
                <c:formatCode>General</c:formatCode>
                <c:ptCount val="5"/>
                <c:pt idx="0">
                  <c:v>32</c:v>
                </c:pt>
                <c:pt idx="1">
                  <c:v>29</c:v>
                </c:pt>
                <c:pt idx="2">
                  <c:v>26</c:v>
                </c:pt>
                <c:pt idx="3">
                  <c:v>31</c:v>
                </c:pt>
                <c:pt idx="4">
                  <c:v>28</c:v>
                </c:pt>
              </c:numCache>
            </c:numRef>
          </c:val>
          <c:extLst>
            <c:ext xmlns:c16="http://schemas.microsoft.com/office/drawing/2014/chart" uri="{C3380CC4-5D6E-409C-BE32-E72D297353CC}">
              <c16:uniqueId val="{00000000-2B58-4CB5-A403-81E5207D62F0}"/>
            </c:ext>
          </c:extLst>
        </c:ser>
        <c:ser>
          <c:idx val="1"/>
          <c:order val="1"/>
          <c:tx>
            <c:strRef>
              <c:f>Pivot!$G$2:$G$3</c:f>
              <c:strCache>
                <c:ptCount val="1"/>
                <c:pt idx="0">
                  <c:v>Yes</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Pivot!$E$4:$E$9</c:f>
              <c:strCache>
                <c:ptCount val="5"/>
                <c:pt idx="0">
                  <c:v>Analyst</c:v>
                </c:pt>
                <c:pt idx="1">
                  <c:v>Engineer</c:v>
                </c:pt>
                <c:pt idx="2">
                  <c:v>Executive</c:v>
                </c:pt>
                <c:pt idx="3">
                  <c:v>Manager</c:v>
                </c:pt>
                <c:pt idx="4">
                  <c:v>Technician</c:v>
                </c:pt>
              </c:strCache>
            </c:strRef>
          </c:cat>
          <c:val>
            <c:numRef>
              <c:f>Pivot!$G$4:$G$9</c:f>
              <c:numCache>
                <c:formatCode>General</c:formatCode>
                <c:ptCount val="5"/>
                <c:pt idx="0">
                  <c:v>10</c:v>
                </c:pt>
                <c:pt idx="1">
                  <c:v>13</c:v>
                </c:pt>
                <c:pt idx="2">
                  <c:v>10</c:v>
                </c:pt>
                <c:pt idx="3">
                  <c:v>9</c:v>
                </c:pt>
                <c:pt idx="4">
                  <c:v>12</c:v>
                </c:pt>
              </c:numCache>
            </c:numRef>
          </c:val>
          <c:extLst>
            <c:ext xmlns:c16="http://schemas.microsoft.com/office/drawing/2014/chart" uri="{C3380CC4-5D6E-409C-BE32-E72D297353CC}">
              <c16:uniqueId val="{00000001-2B58-4CB5-A403-81E5207D62F0}"/>
            </c:ext>
          </c:extLst>
        </c:ser>
        <c:dLbls>
          <c:showLegendKey val="0"/>
          <c:showVal val="1"/>
          <c:showCatName val="0"/>
          <c:showSerName val="0"/>
          <c:showPercent val="0"/>
          <c:showBubbleSize val="0"/>
        </c:dLbls>
        <c:gapWidth val="150"/>
        <c:shape val="box"/>
        <c:axId val="121420768"/>
        <c:axId val="121406848"/>
        <c:axId val="0"/>
      </c:bar3DChart>
      <c:catAx>
        <c:axId val="1214207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85000"/>
                    <a:lumOff val="15000"/>
                  </a:schemeClr>
                </a:solidFill>
                <a:latin typeface="+mn-lt"/>
                <a:ea typeface="+mn-ea"/>
                <a:cs typeface="+mn-cs"/>
              </a:defRPr>
            </a:pPr>
            <a:endParaRPr lang="en-US"/>
          </a:p>
        </c:txPr>
        <c:crossAx val="121406848"/>
        <c:crosses val="autoZero"/>
        <c:auto val="1"/>
        <c:lblAlgn val="ctr"/>
        <c:lblOffset val="100"/>
        <c:noMultiLvlLbl val="0"/>
      </c:catAx>
      <c:valAx>
        <c:axId val="121406848"/>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85000"/>
                    <a:lumOff val="15000"/>
                  </a:schemeClr>
                </a:solidFill>
                <a:latin typeface="+mn-lt"/>
                <a:ea typeface="+mn-ea"/>
                <a:cs typeface="+mn-cs"/>
              </a:defRPr>
            </a:pPr>
            <a:endParaRPr lang="en-US"/>
          </a:p>
        </c:txPr>
        <c:crossAx val="1214207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85000"/>
                  <a:lumOff val="1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a:noFill/>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[Harika Bhudhiraju Attrition Project.xlsm]Pivot!PivotTable6</c:name>
    <c:fmtId val="11"/>
  </c:pivotSource>
  <c:chart>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34925" cap="rnd">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Pivot!$H$13:$H$14</c:f>
              <c:strCache>
                <c:ptCount val="1"/>
                <c:pt idx="0">
                  <c:v>No</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Pivot!$G$15:$G$19</c:f>
              <c:strCache>
                <c:ptCount val="4"/>
                <c:pt idx="0">
                  <c:v>Bachelors</c:v>
                </c:pt>
                <c:pt idx="1">
                  <c:v>High School</c:v>
                </c:pt>
                <c:pt idx="2">
                  <c:v>Masters</c:v>
                </c:pt>
                <c:pt idx="3">
                  <c:v>PhD</c:v>
                </c:pt>
              </c:strCache>
            </c:strRef>
          </c:cat>
          <c:val>
            <c:numRef>
              <c:f>Pivot!$H$15:$H$19</c:f>
              <c:numCache>
                <c:formatCode>General</c:formatCode>
                <c:ptCount val="4"/>
                <c:pt idx="0">
                  <c:v>60</c:v>
                </c:pt>
                <c:pt idx="1">
                  <c:v>29</c:v>
                </c:pt>
                <c:pt idx="2">
                  <c:v>41</c:v>
                </c:pt>
                <c:pt idx="3">
                  <c:v>16</c:v>
                </c:pt>
              </c:numCache>
            </c:numRef>
          </c:val>
          <c:extLst>
            <c:ext xmlns:c16="http://schemas.microsoft.com/office/drawing/2014/chart" uri="{C3380CC4-5D6E-409C-BE32-E72D297353CC}">
              <c16:uniqueId val="{00000000-F4D7-4990-BCED-7D6F320AA1E3}"/>
            </c:ext>
          </c:extLst>
        </c:ser>
        <c:dLbls>
          <c:showLegendKey val="0"/>
          <c:showVal val="0"/>
          <c:showCatName val="0"/>
          <c:showSerName val="0"/>
          <c:showPercent val="0"/>
          <c:showBubbleSize val="0"/>
        </c:dLbls>
        <c:gapWidth val="150"/>
        <c:axId val="361992240"/>
        <c:axId val="362001840"/>
      </c:barChart>
      <c:lineChart>
        <c:grouping val="standard"/>
        <c:varyColors val="0"/>
        <c:ser>
          <c:idx val="1"/>
          <c:order val="1"/>
          <c:tx>
            <c:strRef>
              <c:f>Pivot!$I$13:$I$14</c:f>
              <c:strCache>
                <c:ptCount val="1"/>
                <c:pt idx="0">
                  <c:v>Yes</c:v>
                </c:pt>
              </c:strCache>
            </c:strRef>
          </c:tx>
          <c:spPr>
            <a:ln w="34925" cap="rnd">
              <a:solidFill>
                <a:schemeClr val="accent2"/>
              </a:solidFill>
              <a:round/>
            </a:ln>
            <a:effectLst>
              <a:outerShdw blurRad="40000" dist="23000" dir="5400000" rotWithShape="0">
                <a:srgbClr val="000000">
                  <a:alpha val="35000"/>
                </a:srgbClr>
              </a:outerShdw>
            </a:effectLst>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Pivot!$G$15:$G$19</c:f>
              <c:strCache>
                <c:ptCount val="4"/>
                <c:pt idx="0">
                  <c:v>Bachelors</c:v>
                </c:pt>
                <c:pt idx="1">
                  <c:v>High School</c:v>
                </c:pt>
                <c:pt idx="2">
                  <c:v>Masters</c:v>
                </c:pt>
                <c:pt idx="3">
                  <c:v>PhD</c:v>
                </c:pt>
              </c:strCache>
            </c:strRef>
          </c:cat>
          <c:val>
            <c:numRef>
              <c:f>Pivot!$I$15:$I$19</c:f>
              <c:numCache>
                <c:formatCode>General</c:formatCode>
                <c:ptCount val="4"/>
                <c:pt idx="0">
                  <c:v>23</c:v>
                </c:pt>
                <c:pt idx="1">
                  <c:v>8</c:v>
                </c:pt>
                <c:pt idx="2">
                  <c:v>16</c:v>
                </c:pt>
                <c:pt idx="3">
                  <c:v>7</c:v>
                </c:pt>
              </c:numCache>
            </c:numRef>
          </c:val>
          <c:smooth val="0"/>
          <c:extLst>
            <c:ext xmlns:c16="http://schemas.microsoft.com/office/drawing/2014/chart" uri="{C3380CC4-5D6E-409C-BE32-E72D297353CC}">
              <c16:uniqueId val="{00000001-F4D7-4990-BCED-7D6F320AA1E3}"/>
            </c:ext>
          </c:extLst>
        </c:ser>
        <c:dLbls>
          <c:showLegendKey val="0"/>
          <c:showVal val="0"/>
          <c:showCatName val="0"/>
          <c:showSerName val="0"/>
          <c:showPercent val="0"/>
          <c:showBubbleSize val="0"/>
        </c:dLbls>
        <c:marker val="1"/>
        <c:smooth val="0"/>
        <c:axId val="362037360"/>
        <c:axId val="362018640"/>
      </c:lineChart>
      <c:catAx>
        <c:axId val="36199224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62001840"/>
        <c:crosses val="autoZero"/>
        <c:auto val="1"/>
        <c:lblAlgn val="ctr"/>
        <c:lblOffset val="100"/>
        <c:noMultiLvlLbl val="0"/>
      </c:catAx>
      <c:valAx>
        <c:axId val="3620018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361992240"/>
        <c:crosses val="autoZero"/>
        <c:crossBetween val="between"/>
      </c:valAx>
      <c:valAx>
        <c:axId val="362018640"/>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362037360"/>
        <c:crosses val="max"/>
        <c:crossBetween val="between"/>
      </c:valAx>
      <c:catAx>
        <c:axId val="362037360"/>
        <c:scaling>
          <c:orientation val="minMax"/>
        </c:scaling>
        <c:delete val="1"/>
        <c:axPos val="b"/>
        <c:numFmt formatCode="General" sourceLinked="1"/>
        <c:majorTickMark val="none"/>
        <c:minorTickMark val="none"/>
        <c:tickLblPos val="nextTo"/>
        <c:crossAx val="362018640"/>
        <c:crosses val="autoZero"/>
        <c:auto val="1"/>
        <c:lblAlgn val="ctr"/>
        <c:lblOffset val="100"/>
        <c:noMultiLvlLbl val="0"/>
      </c:catAx>
      <c:spPr>
        <a:noFill/>
        <a:ln>
          <a:noFill/>
        </a:ln>
        <a:effectLst/>
      </c:spPr>
    </c:plotArea>
    <c:legend>
      <c:legendPos val="r"/>
      <c:layout>
        <c:manualLayout>
          <c:xMode val="edge"/>
          <c:yMode val="edge"/>
          <c:x val="0.82079615048118981"/>
          <c:y val="0.353084513062354"/>
          <c:w val="0.15698162729658793"/>
          <c:h val="0.23916463606494995"/>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[Harika Bhudhiraju Attrition Project.xlsm]Pivot!PivotTable1</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manualLayout>
          <c:layoutTarget val="inner"/>
          <c:xMode val="edge"/>
          <c:yMode val="edge"/>
          <c:x val="0.10264428153377379"/>
          <c:y val="0.15331398540405167"/>
          <c:w val="0.52861948290946381"/>
          <c:h val="0.73369784820933936"/>
        </c:manualLayout>
      </c:layout>
      <c:doughnutChart>
        <c:varyColors val="1"/>
        <c:ser>
          <c:idx val="0"/>
          <c:order val="0"/>
          <c:tx>
            <c:strRef>
              <c:f>Pivot!$C$3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1D3-4DD6-891D-E25121778FD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1D3-4DD6-891D-E25121778FD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1D3-4DD6-891D-E25121778FD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1D3-4DD6-891D-E25121778FD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1D3-4DD6-891D-E25121778FDD}"/>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Pivot!$B$4:$B$9</c:f>
              <c:strCache>
                <c:ptCount val="5"/>
                <c:pt idx="0">
                  <c:v>Finance</c:v>
                </c:pt>
                <c:pt idx="1">
                  <c:v>HR</c:v>
                </c:pt>
                <c:pt idx="2">
                  <c:v>IT</c:v>
                </c:pt>
                <c:pt idx="3">
                  <c:v>R&amp;D</c:v>
                </c:pt>
                <c:pt idx="4">
                  <c:v>Sales</c:v>
                </c:pt>
              </c:strCache>
            </c:strRef>
          </c:cat>
          <c:val>
            <c:numRef>
              <c:f>Pivot!$C$4:$C$9</c:f>
              <c:numCache>
                <c:formatCode>0</c:formatCode>
                <c:ptCount val="5"/>
                <c:pt idx="0">
                  <c:v>32</c:v>
                </c:pt>
                <c:pt idx="1">
                  <c:v>43</c:v>
                </c:pt>
                <c:pt idx="2">
                  <c:v>40</c:v>
                </c:pt>
                <c:pt idx="3">
                  <c:v>42</c:v>
                </c:pt>
                <c:pt idx="4">
                  <c:v>43</c:v>
                </c:pt>
              </c:numCache>
            </c:numRef>
          </c:val>
          <c:extLst>
            <c:ext xmlns:c16="http://schemas.microsoft.com/office/drawing/2014/chart" uri="{C3380CC4-5D6E-409C-BE32-E72D297353CC}">
              <c16:uniqueId val="{0000000A-41D3-4DD6-891D-E25121778FDD}"/>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[Harika Bhudhiraju Attrition Project.xlsm]Pivot!PivotTable3</c:name>
    <c:fmtId val="16"/>
  </c:pivotSource>
  <c:chart>
    <c:autoTitleDeleted val="1"/>
    <c:pivotFmts>
      <c:pivotFmt>
        <c:idx val="0"/>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2">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2">
              <a:tint val="77000"/>
            </a:schemeClr>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2">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2">
              <a:tint val="77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Pivot!$K$3</c:f>
              <c:strCache>
                <c:ptCount val="1"/>
                <c:pt idx="0">
                  <c:v>Total</c:v>
                </c:pt>
              </c:strCache>
            </c:strRef>
          </c:tx>
          <c:dPt>
            <c:idx val="0"/>
            <c:bubble3D val="0"/>
            <c:spPr>
              <a:solidFill>
                <a:schemeClr val="accent2">
                  <a:shade val="7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22FE-496D-8ED2-C75F6BCFBE1F}"/>
              </c:ext>
            </c:extLst>
          </c:dPt>
          <c:dPt>
            <c:idx val="1"/>
            <c:bubble3D val="0"/>
            <c:spPr>
              <a:solidFill>
                <a:schemeClr val="accent2">
                  <a:tint val="77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22FE-496D-8ED2-C75F6BCFBE1F}"/>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Pivot!$J$4:$J$6</c:f>
              <c:strCache>
                <c:ptCount val="2"/>
                <c:pt idx="0">
                  <c:v>No</c:v>
                </c:pt>
                <c:pt idx="1">
                  <c:v>Yes</c:v>
                </c:pt>
              </c:strCache>
            </c:strRef>
          </c:cat>
          <c:val>
            <c:numRef>
              <c:f>Pivot!$K$4:$K$6</c:f>
              <c:numCache>
                <c:formatCode>_-[$$-409]* #,##0_ ;_-[$$-409]* \-#,##0\ ;_-[$$-409]* "-"??_ ;_-@_ </c:formatCode>
                <c:ptCount val="2"/>
                <c:pt idx="0">
                  <c:v>75432.938356164377</c:v>
                </c:pt>
                <c:pt idx="1">
                  <c:v>71885.944444444438</c:v>
                </c:pt>
              </c:numCache>
            </c:numRef>
          </c:val>
          <c:extLst>
            <c:ext xmlns:c16="http://schemas.microsoft.com/office/drawing/2014/chart" uri="{C3380CC4-5D6E-409C-BE32-E72D297353CC}">
              <c16:uniqueId val="{00000004-22FE-496D-8ED2-C75F6BCFBE1F}"/>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82795394175125703"/>
          <c:y val="0.38786830780499926"/>
          <c:w val="0.14192557632103217"/>
          <c:h val="0.28406587225804764"/>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65000"/>
        <a:lumOff val="3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[Harika Bhudhiraju Attrition Project.xlsm]Pivot!PivotTable4</c:name>
    <c:fmtId val="23"/>
  </c:pivotSource>
  <c:chart>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9525">
              <a:solidFill>
                <a:schemeClr val="accent2"/>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manualLayout>
          <c:layoutTarget val="inner"/>
          <c:xMode val="edge"/>
          <c:yMode val="edge"/>
          <c:x val="5.8949624866023578E-2"/>
          <c:y val="0.33067226085790374"/>
          <c:w val="0.58065380493033214"/>
          <c:h val="0.32953163017031623"/>
        </c:manualLayout>
      </c:layout>
      <c:doughnutChart>
        <c:varyColors val="1"/>
        <c:ser>
          <c:idx val="0"/>
          <c:order val="0"/>
          <c:tx>
            <c:strRef>
              <c:f>Pivot!$N$2:$N$3</c:f>
              <c:strCache>
                <c:ptCount val="1"/>
                <c:pt idx="0">
                  <c:v>No</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B20F-48AD-9691-C3713811E4D0}"/>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B20F-48AD-9691-C3713811E4D0}"/>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B20F-48AD-9691-C3713811E4D0}"/>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B20F-48AD-9691-C3713811E4D0}"/>
              </c:ext>
            </c:extLst>
          </c:dPt>
          <c:cat>
            <c:strRef>
              <c:f>Pivot!$M$4:$M$7</c:f>
              <c:strCache>
                <c:ptCount val="4"/>
                <c:pt idx="0">
                  <c:v>20-29</c:v>
                </c:pt>
                <c:pt idx="1">
                  <c:v>30-39</c:v>
                </c:pt>
                <c:pt idx="2">
                  <c:v>40-49</c:v>
                </c:pt>
                <c:pt idx="3">
                  <c:v>50-59</c:v>
                </c:pt>
              </c:strCache>
            </c:strRef>
          </c:cat>
          <c:val>
            <c:numRef>
              <c:f>Pivot!$N$4:$N$7</c:f>
              <c:numCache>
                <c:formatCode>General</c:formatCode>
                <c:ptCount val="4"/>
                <c:pt idx="0">
                  <c:v>32</c:v>
                </c:pt>
                <c:pt idx="1">
                  <c:v>32</c:v>
                </c:pt>
                <c:pt idx="2">
                  <c:v>45</c:v>
                </c:pt>
                <c:pt idx="3">
                  <c:v>37</c:v>
                </c:pt>
              </c:numCache>
            </c:numRef>
          </c:val>
          <c:extLst>
            <c:ext xmlns:c16="http://schemas.microsoft.com/office/drawing/2014/chart" uri="{C3380CC4-5D6E-409C-BE32-E72D297353CC}">
              <c16:uniqueId val="{00000008-B20F-48AD-9691-C3713811E4D0}"/>
            </c:ext>
          </c:extLst>
        </c:ser>
        <c:ser>
          <c:idx val="1"/>
          <c:order val="1"/>
          <c:tx>
            <c:strRef>
              <c:f>Pivot!$O$2:$O$3</c:f>
              <c:strCache>
                <c:ptCount val="1"/>
                <c:pt idx="0">
                  <c:v>Yes</c:v>
                </c:pt>
              </c:strCache>
            </c:strRef>
          </c:tx>
          <c:explosion val="23"/>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B20F-48AD-9691-C3713811E4D0}"/>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B20F-48AD-9691-C3713811E4D0}"/>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B20F-48AD-9691-C3713811E4D0}"/>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0-B20F-48AD-9691-C3713811E4D0}"/>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Pivot!$M$4:$M$7</c:f>
              <c:strCache>
                <c:ptCount val="4"/>
                <c:pt idx="0">
                  <c:v>20-29</c:v>
                </c:pt>
                <c:pt idx="1">
                  <c:v>30-39</c:v>
                </c:pt>
                <c:pt idx="2">
                  <c:v>40-49</c:v>
                </c:pt>
                <c:pt idx="3">
                  <c:v>50-59</c:v>
                </c:pt>
              </c:strCache>
            </c:strRef>
          </c:cat>
          <c:val>
            <c:numRef>
              <c:f>Pivot!$O$4:$O$7</c:f>
              <c:numCache>
                <c:formatCode>General</c:formatCode>
                <c:ptCount val="4"/>
                <c:pt idx="0">
                  <c:v>17</c:v>
                </c:pt>
                <c:pt idx="1">
                  <c:v>13</c:v>
                </c:pt>
                <c:pt idx="2">
                  <c:v>12</c:v>
                </c:pt>
                <c:pt idx="3">
                  <c:v>12</c:v>
                </c:pt>
              </c:numCache>
            </c:numRef>
          </c:val>
          <c:extLst>
            <c:ext xmlns:c16="http://schemas.microsoft.com/office/drawing/2014/chart" uri="{C3380CC4-5D6E-409C-BE32-E72D297353CC}">
              <c16:uniqueId val="{00000011-B20F-48AD-9691-C3713811E4D0}"/>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data id="1">
      <cx:strDim type="cat">
        <cx:f>_xlchart.v1.0</cx:f>
      </cx:strDim>
      <cx:numDim type="val">
        <cx:f>_xlchart.v1.4</cx:f>
      </cx:numDim>
    </cx:data>
    <cx:data id="2">
      <cx:strDim type="cat">
        <cx:f>_xlchart.v1.0</cx:f>
      </cx:strDim>
      <cx:numDim type="val">
        <cx:f>_xlchart.v1.6</cx:f>
      </cx:numDim>
    </cx:data>
  </cx:chartData>
  <cx:chart>
    <cx:plotArea>
      <cx:plotAreaRegion>
        <cx:series layoutId="waterfall" uniqueId="{86F86BB9-230C-4152-A4B0-7CF243A4DB3E}" formatIdx="0">
          <cx:tx>
            <cx:txData>
              <cx:f>_xlchart.v1.1</cx:f>
              <cx:v>Attrition No</cx:v>
            </cx:txData>
          </cx:tx>
          <cx:spPr>
            <a:solidFill>
              <a:schemeClr val="accent2">
                <a:lumMod val="75000"/>
              </a:schemeClr>
            </a:solidFill>
            <a:ln>
              <a:noFill/>
            </a:ln>
          </cx:spPr>
          <cx:dataLabels pos="outEnd">
            <cx:spPr>
              <a:solidFill>
                <a:schemeClr val="accent2">
                  <a:lumMod val="75000"/>
                </a:schemeClr>
              </a:solidFill>
            </cx:spPr>
            <cx:txPr>
              <a:bodyPr spcFirstLastPara="1" vertOverflow="ellipsis" horzOverflow="overflow" wrap="square" lIns="0" tIns="0" rIns="0" bIns="0" anchor="ctr" anchorCtr="1"/>
              <a:lstStyle/>
              <a:p>
                <a:pPr algn="ctr" rtl="0">
                  <a:defRPr sz="1200" b="1">
                    <a:solidFill>
                      <a:schemeClr val="bg1"/>
                    </a:solidFill>
                  </a:defRPr>
                </a:pPr>
                <a:endParaRPr lang="en-US" sz="1200" b="1" i="0" u="none" strike="noStrike" baseline="0">
                  <a:solidFill>
                    <a:schemeClr val="bg1"/>
                  </a:solidFill>
                  <a:latin typeface="Calibri"/>
                </a:endParaRPr>
              </a:p>
            </cx:txPr>
            <cx:visibility seriesName="0" categoryName="0" value="1"/>
            <cx:separator>, </cx:separator>
          </cx:dataLabels>
          <cx:dataId val="0"/>
          <cx:layoutPr>
            <cx:subtotals/>
          </cx:layoutPr>
        </cx:series>
        <cx:series layoutId="waterfall" hidden="1" uniqueId="{B0B2EE11-48D4-4439-97AA-51E509DEB02C}" formatIdx="1">
          <cx:tx>
            <cx:txData>
              <cx:f>_xlchart.v1.3</cx:f>
              <cx:v>Yes</cx:v>
            </cx:txData>
          </cx:tx>
          <cx:dataLabels pos="outEnd">
            <cx:visibility seriesName="0" categoryName="0" value="1"/>
            <cx:separator>, </cx:separator>
          </cx:dataLabels>
          <cx:dataId val="1"/>
          <cx:layoutPr>
            <cx:subtotals/>
          </cx:layoutPr>
        </cx:series>
        <cx:series layoutId="waterfall" hidden="1" uniqueId="{2A25D40E-04E5-48ED-B9E0-10062CFC29BA}" formatIdx="2">
          <cx:tx>
            <cx:txData>
              <cx:f>_xlchart.v1.5</cx:f>
              <cx:v>Grand Total</cx:v>
            </cx:txData>
          </cx:tx>
          <cx:dataLabels pos="outEnd">
            <cx:visibility seriesName="0" categoryName="0" value="1"/>
            <cx:separator>, </cx:separator>
          </cx:dataLabels>
          <cx:dataId val="2"/>
          <cx:layoutPr>
            <cx:subtotals/>
          </cx:layoutPr>
        </cx:series>
      </cx:plotAreaRegion>
      <cx:axis id="0">
        <cx:catScaling gapWidth="0.5"/>
        <cx:tickLabels/>
        <cx:txPr>
          <a:bodyPr spcFirstLastPara="1" vertOverflow="ellipsis" horzOverflow="overflow" wrap="square" lIns="0" tIns="0" rIns="0" bIns="0" anchor="ctr" anchorCtr="1"/>
          <a:lstStyle/>
          <a:p>
            <a:pPr algn="ctr" rtl="0">
              <a:defRPr sz="1050" b="1"/>
            </a:pPr>
            <a:endParaRPr lang="en-US" sz="1050" b="1" i="0" u="none" strike="noStrike" baseline="0">
              <a:solidFill>
                <a:sysClr val="windowText" lastClr="000000">
                  <a:lumMod val="65000"/>
                  <a:lumOff val="35000"/>
                </a:sysClr>
              </a:solidFill>
              <a:latin typeface="Calibri"/>
            </a:endParaRPr>
          </a:p>
        </cx:txPr>
      </cx:axis>
      <cx:axis id="1">
        <cx:valScaling/>
        <cx:tickLabels/>
        <cx:txPr>
          <a:bodyPr spcFirstLastPara="1" vertOverflow="ellipsis" horzOverflow="overflow" wrap="square" lIns="0" tIns="0" rIns="0" bIns="0" anchor="ctr" anchorCtr="1"/>
          <a:lstStyle/>
          <a:p>
            <a:pPr algn="ctr" rtl="0">
              <a:defRPr sz="1050" b="1"/>
            </a:pPr>
            <a:endParaRPr lang="en-US" sz="1050" b="1" i="0" u="none" strike="noStrike" baseline="0">
              <a:solidFill>
                <a:sysClr val="windowText" lastClr="000000">
                  <a:lumMod val="65000"/>
                  <a:lumOff val="35000"/>
                </a:sysClr>
              </a:solidFill>
              <a:latin typeface="Calibri"/>
            </a:endParaRPr>
          </a:p>
        </cx:txPr>
      </cx:axis>
    </cx:plotArea>
    <cx:legend pos="t" align="ctr" overlay="0">
      <cx:txPr>
        <a:bodyPr spcFirstLastPara="1" vertOverflow="ellipsis" horzOverflow="overflow" wrap="square" lIns="0" tIns="0" rIns="0" bIns="0" anchor="ctr" anchorCtr="1"/>
        <a:lstStyle/>
        <a:p>
          <a:pPr algn="ctr" rtl="0">
            <a:defRPr sz="1100"/>
          </a:pPr>
          <a:endParaRPr lang="en-US" sz="1100" b="0" i="0" u="none" strike="noStrike" baseline="0">
            <a:solidFill>
              <a:sysClr val="windowText" lastClr="000000">
                <a:lumMod val="65000"/>
                <a:lumOff val="35000"/>
              </a:sysClr>
            </a:solidFill>
            <a:latin typeface="Calibri"/>
          </a:endParaRPr>
        </a:p>
      </cx:txPr>
    </cx:legend>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_xlchart.v1.7</cx:f>
      </cx:strDim>
      <cx:numDim type="val">
        <cx:f>_xlchart.v1.9</cx:f>
      </cx:numDim>
    </cx:data>
    <cx:data id="1">
      <cx:strDim type="cat">
        <cx:f>_xlchart.v1.7</cx:f>
      </cx:strDim>
      <cx:numDim type="val">
        <cx:f>_xlchart.v1.11</cx:f>
      </cx:numDim>
    </cx:data>
    <cx:data id="2">
      <cx:strDim type="cat">
        <cx:f>_xlchart.v1.7</cx:f>
      </cx:strDim>
      <cx:numDim type="val">
        <cx:f>_xlchart.v1.13</cx:f>
      </cx:numDim>
    </cx:data>
  </cx:chartData>
  <cx:chart>
    <cx:plotArea>
      <cx:plotAreaRegion>
        <cx:series layoutId="waterfall" uniqueId="{814CDEBF-C191-4069-AFC3-3C594B53D97C}" formatIdx="0">
          <cx:tx>
            <cx:txData>
              <cx:f>_xlchart.v1.8</cx:f>
              <cx:v>Average of Salary</cx:v>
            </cx:txData>
          </cx:tx>
          <cx:spPr>
            <a:solidFill>
              <a:schemeClr val="bg1">
                <a:lumMod val="95000"/>
              </a:schemeClr>
            </a:solidFill>
          </cx:spPr>
          <cx:dataLabels pos="ctr">
            <cx:txPr>
              <a:bodyPr spcFirstLastPara="1" vertOverflow="ellipsis" horzOverflow="overflow" wrap="square" lIns="0" tIns="0" rIns="0" bIns="0" anchor="ctr" anchorCtr="1"/>
              <a:lstStyle/>
              <a:p>
                <a:pPr algn="ctr" rtl="0">
                  <a:defRPr sz="600" b="1"/>
                </a:pPr>
                <a:endParaRPr lang="en-US" sz="600" b="1" i="0" u="none" strike="noStrike" baseline="0">
                  <a:solidFill>
                    <a:sysClr val="windowText" lastClr="000000">
                      <a:lumMod val="65000"/>
                      <a:lumOff val="35000"/>
                    </a:sysClr>
                  </a:solidFill>
                  <a:latin typeface="Calibri"/>
                </a:endParaRPr>
              </a:p>
            </cx:txPr>
            <cx:visibility seriesName="0" categoryName="0" value="1"/>
            <cx:separator>, </cx:separator>
          </cx:dataLabels>
          <cx:dataId val="0"/>
          <cx:layoutPr>
            <cx:subtotals/>
          </cx:layoutPr>
        </cx:series>
        <cx:series layoutId="waterfall" hidden="1" uniqueId="{009323B5-9E86-425C-AF71-DE83B56050E3}" formatIdx="1">
          <cx:tx>
            <cx:txData>
              <cx:f>_xlchart.v1.10</cx:f>
              <cx:v>Max of Salary</cx:v>
            </cx:txData>
          </cx:tx>
          <cx:dataLabels pos="ctr">
            <cx:visibility seriesName="0" categoryName="0" value="1"/>
            <cx:separator>, </cx:separator>
          </cx:dataLabels>
          <cx:dataId val="1"/>
          <cx:layoutPr>
            <cx:subtotals/>
          </cx:layoutPr>
        </cx:series>
        <cx:series layoutId="waterfall" hidden="1" uniqueId="{9B948A3C-350E-42E7-9C85-02A84022523A}" formatIdx="2">
          <cx:tx>
            <cx:txData>
              <cx:f>_xlchart.v1.12</cx:f>
              <cx:v>Min of Salary</cx:v>
            </cx:txData>
          </cx:tx>
          <cx:dataLabels pos="ctr">
            <cx:visibility seriesName="0" categoryName="0" value="1"/>
            <cx:separator>, </cx:separator>
          </cx:dataLabels>
          <cx:dataId val="2"/>
          <cx:layoutPr>
            <cx:subtotals/>
          </cx:layoutPr>
        </cx:series>
      </cx:plotAreaRegion>
      <cx:axis id="0">
        <cx:catScaling gapWidth="0.5"/>
        <cx:tickLabels/>
        <cx:txPr>
          <a:bodyPr spcFirstLastPara="1" vertOverflow="ellipsis" horzOverflow="overflow" wrap="square" lIns="0" tIns="0" rIns="0" bIns="0" anchor="ctr" anchorCtr="1"/>
          <a:lstStyle/>
          <a:p>
            <a:pPr algn="ctr" rtl="0">
              <a:defRPr sz="1000" b="1"/>
            </a:pPr>
            <a:endParaRPr lang="en-US" sz="1000" b="1" i="0" u="none" strike="noStrike" baseline="0">
              <a:solidFill>
                <a:sysClr val="windowText" lastClr="000000">
                  <a:lumMod val="65000"/>
                  <a:lumOff val="35000"/>
                </a:sysClr>
              </a:solidFill>
              <a:latin typeface="Calibri"/>
            </a:endParaRPr>
          </a:p>
        </cx:txPr>
      </cx:axis>
      <cx:axis id="1">
        <cx:valScaling/>
        <cx:tickLabels/>
        <cx:txPr>
          <a:bodyPr spcFirstLastPara="1" vertOverflow="ellipsis" horzOverflow="overflow" wrap="square" lIns="0" tIns="0" rIns="0" bIns="0" anchor="ctr" anchorCtr="1"/>
          <a:lstStyle/>
          <a:p>
            <a:pPr algn="ctr" rtl="0">
              <a:defRPr sz="1000" b="1"/>
            </a:pPr>
            <a:endParaRPr lang="en-US" sz="1000" b="1" i="0" u="none" strike="noStrike" baseline="0">
              <a:solidFill>
                <a:sysClr val="windowText" lastClr="000000">
                  <a:lumMod val="65000"/>
                  <a:lumOff val="35000"/>
                </a:sysClr>
              </a:solidFill>
              <a:latin typeface="Calibri"/>
            </a:endParaRPr>
          </a:p>
        </cx:txPr>
      </cx:axis>
    </cx:plotArea>
  </cx:chart>
  <cx:spPr>
    <a:solidFill>
      <a:schemeClr val="bg1">
        <a:lumMod val="95000"/>
      </a:schemeClr>
    </a:solid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5">
  <a:schemeClr val="accent2"/>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96">
  <cs:axisTitle>
    <cs:lnRef idx="0"/>
    <cs:fillRef idx="0"/>
    <cs:effectRef idx="0"/>
    <cs:fontRef idx="minor">
      <a:schemeClr val="tx1">
        <a:lumMod val="65000"/>
        <a:lumOff val="35000"/>
      </a:schemeClr>
    </cs:fontRef>
    <cs:defRPr sz="900" b="1"/>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75000"/>
        <a:lumOff val="2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solidFill>
        <a:schemeClr val="phClr"/>
      </a:solid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25000"/>
            <a:lumOff val="75000"/>
          </a:schemeClr>
        </a:solidFill>
      </a:ln>
    </cs:spPr>
    <cs:defRPr sz="9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25000"/>
            <a:lumOff val="75000"/>
          </a:schemeClr>
        </a:solidFill>
      </a:ln>
    </cs:spPr>
  </cs:gridlineMajor>
  <cs:gridlineMinor>
    <cs:lnRef idx="0"/>
    <cs:fillRef idx="0"/>
    <cs:effectRef idx="0"/>
    <cs:fontRef idx="minor">
      <a:schemeClr val="dk1"/>
    </cs:fontRef>
    <cs:spPr>
      <a:ln>
        <a:solidFill>
          <a:schemeClr val="tx1">
            <a:lumMod val="25000"/>
            <a:lumOff val="75000"/>
            <a:lumOff val="10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inor">
      <a:schemeClr val="tx1">
        <a:lumMod val="50000"/>
        <a:lumOff val="50000"/>
      </a:schemeClr>
    </cs:fontRef>
    <cs:defRPr sz="1800" b="1" cap="all" spc="15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00">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image" Target="../media/image6.png"/><Relationship Id="rId3" Type="http://schemas.openxmlformats.org/officeDocument/2006/relationships/image" Target="../media/image3.svg"/><Relationship Id="rId7" Type="http://schemas.openxmlformats.org/officeDocument/2006/relationships/chart" Target="../charts/chart3.xml"/><Relationship Id="rId12" Type="http://schemas.openxmlformats.org/officeDocument/2006/relationships/chart" Target="../charts/chart6.xml"/><Relationship Id="rId2" Type="http://schemas.openxmlformats.org/officeDocument/2006/relationships/image" Target="../media/image2.png"/><Relationship Id="rId16" Type="http://schemas.openxmlformats.org/officeDocument/2006/relationships/image" Target="../media/image9.svg"/><Relationship Id="rId1" Type="http://schemas.openxmlformats.org/officeDocument/2006/relationships/image" Target="../media/image1.png"/><Relationship Id="rId6" Type="http://schemas.openxmlformats.org/officeDocument/2006/relationships/chart" Target="../charts/chart2.xml"/><Relationship Id="rId11" Type="http://schemas.microsoft.com/office/2014/relationships/chartEx" Target="../charts/chartEx2.xml"/><Relationship Id="rId5" Type="http://schemas.openxmlformats.org/officeDocument/2006/relationships/image" Target="../media/image5.svg"/><Relationship Id="rId15" Type="http://schemas.openxmlformats.org/officeDocument/2006/relationships/image" Target="../media/image8.png"/><Relationship Id="rId10" Type="http://schemas.openxmlformats.org/officeDocument/2006/relationships/chart" Target="../charts/chart5.xml"/><Relationship Id="rId4" Type="http://schemas.openxmlformats.org/officeDocument/2006/relationships/image" Target="../media/image4.png"/><Relationship Id="rId9" Type="http://schemas.microsoft.com/office/2014/relationships/chartEx" Target="../charts/chartEx1.xml"/><Relationship Id="rId14" Type="http://schemas.openxmlformats.org/officeDocument/2006/relationships/image" Target="../media/image7.svg"/></Relationships>
</file>

<file path=xl/drawings/drawing1.xml><?xml version="1.0" encoding="utf-8"?>
<xdr:wsDr xmlns:xdr="http://schemas.openxmlformats.org/drawingml/2006/spreadsheetDrawing" xmlns:a="http://schemas.openxmlformats.org/drawingml/2006/main">
  <xdr:twoCellAnchor>
    <xdr:from>
      <xdr:col>3</xdr:col>
      <xdr:colOff>0</xdr:colOff>
      <xdr:row>33</xdr:row>
      <xdr:rowOff>0</xdr:rowOff>
    </xdr:from>
    <xdr:to>
      <xdr:col>6</xdr:col>
      <xdr:colOff>15240</xdr:colOff>
      <xdr:row>55</xdr:row>
      <xdr:rowOff>152400</xdr:rowOff>
    </xdr:to>
    <xdr:graphicFrame macro="">
      <xdr:nvGraphicFramePr>
        <xdr:cNvPr id="3" name="Chart 2">
          <a:extLst>
            <a:ext uri="{FF2B5EF4-FFF2-40B4-BE49-F238E27FC236}">
              <a16:creationId xmlns:a16="http://schemas.microsoft.com/office/drawing/2014/main" id="{7C938850-125F-45C6-AD65-AF941B41F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26894</xdr:colOff>
      <xdr:row>0</xdr:row>
      <xdr:rowOff>8965</xdr:rowOff>
    </xdr:from>
    <xdr:to>
      <xdr:col>23</xdr:col>
      <xdr:colOff>255494</xdr:colOff>
      <xdr:row>60</xdr:row>
      <xdr:rowOff>7060</xdr:rowOff>
    </xdr:to>
    <xdr:sp macro="" textlink="">
      <xdr:nvSpPr>
        <xdr:cNvPr id="2" name="Rounded Rectangle 1">
          <a:extLst>
            <a:ext uri="{FF2B5EF4-FFF2-40B4-BE49-F238E27FC236}">
              <a16:creationId xmlns:a16="http://schemas.microsoft.com/office/drawing/2014/main" id="{6948A416-4DE4-62F9-4852-ABD68FD75B7A}"/>
            </a:ext>
          </a:extLst>
        </xdr:cNvPr>
        <xdr:cNvSpPr/>
      </xdr:nvSpPr>
      <xdr:spPr>
        <a:xfrm>
          <a:off x="26894" y="8965"/>
          <a:ext cx="14249400" cy="10755742"/>
        </a:xfrm>
        <a:prstGeom prst="roundRect">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p>
      </xdr:txBody>
    </xdr:sp>
    <xdr:clientData/>
  </xdr:twoCellAnchor>
  <xdr:twoCellAnchor>
    <xdr:from>
      <xdr:col>3</xdr:col>
      <xdr:colOff>257175</xdr:colOff>
      <xdr:row>0</xdr:row>
      <xdr:rowOff>45720</xdr:rowOff>
    </xdr:from>
    <xdr:to>
      <xdr:col>19</xdr:col>
      <xdr:colOff>352425</xdr:colOff>
      <xdr:row>9</xdr:row>
      <xdr:rowOff>57150</xdr:rowOff>
    </xdr:to>
    <xdr:sp macro="" textlink="">
      <xdr:nvSpPr>
        <xdr:cNvPr id="3" name="Rectangle 2">
          <a:extLst>
            <a:ext uri="{FF2B5EF4-FFF2-40B4-BE49-F238E27FC236}">
              <a16:creationId xmlns:a16="http://schemas.microsoft.com/office/drawing/2014/main" id="{F19A94BF-BB94-0AAD-5A61-EC2095CDEB1B}"/>
            </a:ext>
            <a:ext uri="{147F2762-F138-4A5C-976F-8EAC2B608ADB}">
              <a16:predDERef xmlns:a16="http://schemas.microsoft.com/office/drawing/2014/main" pred="{6948A416-4DE4-62F9-4852-ABD68FD75B7A}"/>
            </a:ext>
          </a:extLst>
        </xdr:cNvPr>
        <xdr:cNvSpPr/>
      </xdr:nvSpPr>
      <xdr:spPr>
        <a:xfrm>
          <a:off x="2085975" y="45720"/>
          <a:ext cx="9848850" cy="1625077"/>
        </a:xfrm>
        <a:prstGeom prst="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p>
      </xdr:txBody>
    </xdr:sp>
    <xdr:clientData/>
  </xdr:twoCellAnchor>
  <xdr:twoCellAnchor>
    <xdr:from>
      <xdr:col>4</xdr:col>
      <xdr:colOff>457200</xdr:colOff>
      <xdr:row>2</xdr:row>
      <xdr:rowOff>28575</xdr:rowOff>
    </xdr:from>
    <xdr:to>
      <xdr:col>12</xdr:col>
      <xdr:colOff>381000</xdr:colOff>
      <xdr:row>4</xdr:row>
      <xdr:rowOff>19050</xdr:rowOff>
    </xdr:to>
    <xdr:sp macro="" textlink="">
      <xdr:nvSpPr>
        <xdr:cNvPr id="4" name="TextBox 3">
          <a:extLst>
            <a:ext uri="{FF2B5EF4-FFF2-40B4-BE49-F238E27FC236}">
              <a16:creationId xmlns:a16="http://schemas.microsoft.com/office/drawing/2014/main" id="{866CB15C-0505-6E0E-E2CF-8AFD9CFB74EE}"/>
            </a:ext>
            <a:ext uri="{147F2762-F138-4A5C-976F-8EAC2B608ADB}">
              <a16:predDERef xmlns:a16="http://schemas.microsoft.com/office/drawing/2014/main" pred="{F19A94BF-BB94-0AAD-5A61-EC2095CDEB1B}"/>
            </a:ext>
          </a:extLst>
        </xdr:cNvPr>
        <xdr:cNvSpPr txBox="1"/>
      </xdr:nvSpPr>
      <xdr:spPr>
        <a:xfrm>
          <a:off x="2895600" y="394335"/>
          <a:ext cx="4800600" cy="356235"/>
        </a:xfrm>
        <a:prstGeom prst="rect">
          <a:avLst/>
        </a:prstGeom>
        <a:solidFill>
          <a:schemeClr val="tx1">
            <a:lumMod val="75000"/>
            <a:lumOff val="25000"/>
          </a:schemeClr>
        </a:solidFill>
        <a:ln w="9525" cmpd="sng">
          <a:noFill/>
        </a:ln>
      </xdr:spPr>
      <xdr:txBody>
        <a:bodyPr spcFirstLastPara="0" vertOverflow="clip" horzOverflow="clip" wrap="square" lIns="91440" tIns="45720" rIns="91440" bIns="45720" rtlCol="0" anchor="t">
          <a:noAutofit/>
        </a:bodyPr>
        <a:lstStyle/>
        <a:p>
          <a:pPr marL="0" indent="0" algn="ctr"/>
          <a:r>
            <a:rPr lang="en-US" sz="1800" b="0" i="0" u="none" strike="noStrike">
              <a:solidFill>
                <a:srgbClr val="000000"/>
              </a:solidFill>
              <a:latin typeface="Franklin Gothic"/>
            </a:rPr>
            <a:t>   </a:t>
          </a:r>
          <a:r>
            <a:rPr lang="en-US" sz="2000" b="1" i="0" u="sng" strike="noStrike">
              <a:solidFill>
                <a:schemeClr val="bg1"/>
              </a:solidFill>
              <a:latin typeface="Franklin Gothic"/>
            </a:rPr>
            <a:t>EMPLOYEE</a:t>
          </a:r>
          <a:r>
            <a:rPr lang="en-US" sz="1800" b="1" i="0" u="sng" strike="noStrike">
              <a:solidFill>
                <a:schemeClr val="bg1"/>
              </a:solidFill>
              <a:latin typeface="Franklin Gothic"/>
            </a:rPr>
            <a:t> </a:t>
          </a:r>
          <a:r>
            <a:rPr lang="en-US" sz="2000" b="1" i="0" u="sng" strike="noStrike">
              <a:solidFill>
                <a:schemeClr val="bg1"/>
              </a:solidFill>
              <a:latin typeface="Franklin Gothic"/>
            </a:rPr>
            <a:t>ATTRITION</a:t>
          </a:r>
          <a:r>
            <a:rPr lang="en-US" sz="1800" b="1" i="0" u="sng" strike="noStrike">
              <a:solidFill>
                <a:schemeClr val="bg1"/>
              </a:solidFill>
              <a:latin typeface="Franklin Gothic"/>
            </a:rPr>
            <a:t> </a:t>
          </a:r>
          <a:r>
            <a:rPr lang="en-US" sz="2000" b="1" i="0" u="sng" strike="noStrike">
              <a:solidFill>
                <a:schemeClr val="bg1"/>
              </a:solidFill>
              <a:latin typeface="Franklin Gothic"/>
            </a:rPr>
            <a:t>DASHBOARD</a:t>
          </a:r>
          <a:endParaRPr lang="en-US" sz="1800" b="1" i="0" u="sng" strike="noStrike">
            <a:solidFill>
              <a:schemeClr val="bg1"/>
            </a:solidFill>
            <a:latin typeface="Franklin Gothic"/>
          </a:endParaRPr>
        </a:p>
      </xdr:txBody>
    </xdr:sp>
    <xdr:clientData/>
  </xdr:twoCellAnchor>
  <xdr:twoCellAnchor>
    <xdr:from>
      <xdr:col>4</xdr:col>
      <xdr:colOff>89647</xdr:colOff>
      <xdr:row>4</xdr:row>
      <xdr:rowOff>134472</xdr:rowOff>
    </xdr:from>
    <xdr:to>
      <xdr:col>8</xdr:col>
      <xdr:colOff>365760</xdr:colOff>
      <xdr:row>13</xdr:row>
      <xdr:rowOff>44824</xdr:rowOff>
    </xdr:to>
    <xdr:sp macro="" textlink="">
      <xdr:nvSpPr>
        <xdr:cNvPr id="7" name="Rounded Rectangle 6">
          <a:extLst>
            <a:ext uri="{FF2B5EF4-FFF2-40B4-BE49-F238E27FC236}">
              <a16:creationId xmlns:a16="http://schemas.microsoft.com/office/drawing/2014/main" id="{002EAAFD-5E72-379D-36AF-C8008947C51B}"/>
            </a:ext>
            <a:ext uri="{147F2762-F138-4A5C-976F-8EAC2B608ADB}">
              <a16:predDERef xmlns:a16="http://schemas.microsoft.com/office/drawing/2014/main" pred="{866CB15C-0505-6E0E-E2CF-8AFD9CFB74EE}"/>
            </a:ext>
          </a:extLst>
        </xdr:cNvPr>
        <xdr:cNvSpPr/>
      </xdr:nvSpPr>
      <xdr:spPr>
        <a:xfrm>
          <a:off x="2528047" y="851648"/>
          <a:ext cx="2714513" cy="1524000"/>
        </a:xfrm>
        <a:prstGeom prst="roundRect">
          <a:avLst/>
        </a:prstGeom>
        <a:solidFill>
          <a:schemeClr val="bg1"/>
        </a:solidFill>
        <a:ln w="88900">
          <a:solidFill>
            <a:schemeClr val="tx1">
              <a:alpha val="77000"/>
            </a:schemeClr>
          </a:solidFill>
        </a:ln>
        <a:effectLst>
          <a:softEdge rad="76200"/>
        </a:effectLst>
      </xdr:spPr>
      <xdr:style>
        <a:lnRef idx="2">
          <a:schemeClr val="accent1">
            <a:shade val="15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t">
          <a:noAutofit/>
        </a:bodyPr>
        <a:lstStyle/>
        <a:p>
          <a:pPr marL="0" indent="0" algn="l"/>
          <a:endParaRPr lang="en-US" sz="1100">
            <a:solidFill>
              <a:schemeClr val="bg1"/>
            </a:solidFill>
            <a:latin typeface="+mn-lt"/>
            <a:ea typeface="+mn-lt"/>
            <a:cs typeface="+mn-lt"/>
          </a:endParaRPr>
        </a:p>
      </xdr:txBody>
    </xdr:sp>
    <xdr:clientData/>
  </xdr:twoCellAnchor>
  <xdr:twoCellAnchor>
    <xdr:from>
      <xdr:col>8</xdr:col>
      <xdr:colOff>600635</xdr:colOff>
      <xdr:row>4</xdr:row>
      <xdr:rowOff>125506</xdr:rowOff>
    </xdr:from>
    <xdr:to>
      <xdr:col>13</xdr:col>
      <xdr:colOff>274320</xdr:colOff>
      <xdr:row>13</xdr:row>
      <xdr:rowOff>8964</xdr:rowOff>
    </xdr:to>
    <xdr:sp macro="" textlink="">
      <xdr:nvSpPr>
        <xdr:cNvPr id="8" name="Rounded Rectangle 7">
          <a:extLst>
            <a:ext uri="{FF2B5EF4-FFF2-40B4-BE49-F238E27FC236}">
              <a16:creationId xmlns:a16="http://schemas.microsoft.com/office/drawing/2014/main" id="{453A93B3-8692-47D7-9321-878F47981647}"/>
            </a:ext>
            <a:ext uri="{147F2762-F138-4A5C-976F-8EAC2B608ADB}">
              <a16:predDERef xmlns:a16="http://schemas.microsoft.com/office/drawing/2014/main" pred="{002EAAFD-5E72-379D-36AF-C8008947C51B}"/>
            </a:ext>
          </a:extLst>
        </xdr:cNvPr>
        <xdr:cNvSpPr/>
      </xdr:nvSpPr>
      <xdr:spPr>
        <a:xfrm>
          <a:off x="5477435" y="842682"/>
          <a:ext cx="2721685" cy="1497106"/>
        </a:xfrm>
        <a:prstGeom prst="roundRect">
          <a:avLst/>
        </a:prstGeom>
        <a:solidFill>
          <a:schemeClr val="bg1"/>
        </a:solidFill>
        <a:ln w="88900">
          <a:solidFill>
            <a:schemeClr val="accent1">
              <a:shade val="15000"/>
              <a:alpha val="77000"/>
            </a:schemeClr>
          </a:solidFill>
        </a:ln>
        <a:effectLst>
          <a:softEdge rad="76200"/>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lt"/>
            <a:cs typeface="+mn-lt"/>
          </a:endParaRPr>
        </a:p>
      </xdr:txBody>
    </xdr:sp>
    <xdr:clientData/>
  </xdr:twoCellAnchor>
  <xdr:twoCellAnchor>
    <xdr:from>
      <xdr:col>13</xdr:col>
      <xdr:colOff>489921</xdr:colOff>
      <xdr:row>4</xdr:row>
      <xdr:rowOff>116542</xdr:rowOff>
    </xdr:from>
    <xdr:to>
      <xdr:col>18</xdr:col>
      <xdr:colOff>268941</xdr:colOff>
      <xdr:row>13</xdr:row>
      <xdr:rowOff>35858</xdr:rowOff>
    </xdr:to>
    <xdr:sp macro="" textlink="">
      <xdr:nvSpPr>
        <xdr:cNvPr id="5" name="Rounded Rectangle 7">
          <a:extLst>
            <a:ext uri="{FF2B5EF4-FFF2-40B4-BE49-F238E27FC236}">
              <a16:creationId xmlns:a16="http://schemas.microsoft.com/office/drawing/2014/main" id="{BA408AA3-0980-418F-84CB-EEA863C223E1}"/>
            </a:ext>
            <a:ext uri="{147F2762-F138-4A5C-976F-8EAC2B608ADB}">
              <a16:predDERef xmlns:a16="http://schemas.microsoft.com/office/drawing/2014/main" pred="{002EAAFD-5E72-379D-36AF-C8008947C51B}"/>
            </a:ext>
          </a:extLst>
        </xdr:cNvPr>
        <xdr:cNvSpPr/>
      </xdr:nvSpPr>
      <xdr:spPr>
        <a:xfrm>
          <a:off x="8414721" y="833718"/>
          <a:ext cx="2827020" cy="1532964"/>
        </a:xfrm>
        <a:prstGeom prst="roundRect">
          <a:avLst/>
        </a:prstGeom>
        <a:solidFill>
          <a:schemeClr val="bg1"/>
        </a:solidFill>
        <a:ln w="88900">
          <a:solidFill>
            <a:schemeClr val="accent1">
              <a:shade val="15000"/>
              <a:alpha val="77000"/>
            </a:schemeClr>
          </a:solidFill>
        </a:ln>
        <a:effectLst>
          <a:softEdge rad="76200"/>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lt"/>
            <a:cs typeface="+mn-lt"/>
          </a:endParaRPr>
        </a:p>
      </xdr:txBody>
    </xdr:sp>
    <xdr:clientData/>
  </xdr:twoCellAnchor>
  <xdr:twoCellAnchor>
    <xdr:from>
      <xdr:col>5</xdr:col>
      <xdr:colOff>53789</xdr:colOff>
      <xdr:row>6</xdr:row>
      <xdr:rowOff>53788</xdr:rowOff>
    </xdr:from>
    <xdr:to>
      <xdr:col>8</xdr:col>
      <xdr:colOff>232186</xdr:colOff>
      <xdr:row>12</xdr:row>
      <xdr:rowOff>8965</xdr:rowOff>
    </xdr:to>
    <xdr:sp macro="" textlink="Rough!D6">
      <xdr:nvSpPr>
        <xdr:cNvPr id="6" name="TextBox 5">
          <a:extLst>
            <a:ext uri="{FF2B5EF4-FFF2-40B4-BE49-F238E27FC236}">
              <a16:creationId xmlns:a16="http://schemas.microsoft.com/office/drawing/2014/main" id="{2865567E-B031-17AB-E4B9-002E28D35EC2}"/>
            </a:ext>
          </a:extLst>
        </xdr:cNvPr>
        <xdr:cNvSpPr txBox="1"/>
      </xdr:nvSpPr>
      <xdr:spPr>
        <a:xfrm>
          <a:off x="3101789" y="1129553"/>
          <a:ext cx="2007197" cy="10309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C25B1DA-E409-4743-A456-F742B4580175}" type="TxLink">
            <a:rPr lang="en-US" sz="2400" b="1" i="0" u="none" strike="noStrike">
              <a:solidFill>
                <a:srgbClr val="00B0F0"/>
              </a:solidFill>
              <a:latin typeface="Calibri"/>
              <a:ea typeface="Calibri"/>
              <a:cs typeface="Calibri"/>
            </a:rPr>
            <a:t>200</a:t>
          </a:fld>
          <a:endParaRPr lang="en-US" sz="2400" b="1" i="0" u="none" strike="noStrike">
            <a:solidFill>
              <a:srgbClr val="00B0F0"/>
            </a:solidFill>
            <a:latin typeface="Calibri"/>
            <a:ea typeface="Calibri"/>
            <a:cs typeface="Calibri"/>
          </a:endParaRPr>
        </a:p>
      </xdr:txBody>
    </xdr:sp>
    <xdr:clientData/>
  </xdr:twoCellAnchor>
  <xdr:twoCellAnchor>
    <xdr:from>
      <xdr:col>10</xdr:col>
      <xdr:colOff>556260</xdr:colOff>
      <xdr:row>5</xdr:row>
      <xdr:rowOff>175260</xdr:rowOff>
    </xdr:from>
    <xdr:to>
      <xdr:col>13</xdr:col>
      <xdr:colOff>53340</xdr:colOff>
      <xdr:row>11</xdr:row>
      <xdr:rowOff>170330</xdr:rowOff>
    </xdr:to>
    <xdr:sp macro="" textlink="Rough!L6">
      <xdr:nvSpPr>
        <xdr:cNvPr id="9" name="TextBox 8">
          <a:extLst>
            <a:ext uri="{FF2B5EF4-FFF2-40B4-BE49-F238E27FC236}">
              <a16:creationId xmlns:a16="http://schemas.microsoft.com/office/drawing/2014/main" id="{542DFF7F-69F6-8678-A3B9-54457EA8E22B}"/>
            </a:ext>
          </a:extLst>
        </xdr:cNvPr>
        <xdr:cNvSpPr txBox="1"/>
      </xdr:nvSpPr>
      <xdr:spPr>
        <a:xfrm>
          <a:off x="6652260" y="1071731"/>
          <a:ext cx="1325880" cy="1070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b="0" i="0" u="none" strike="noStrike">
            <a:solidFill>
              <a:srgbClr val="000000"/>
            </a:solidFill>
            <a:latin typeface="Calibri"/>
            <a:ea typeface="Calibri"/>
            <a:cs typeface="Calibri"/>
          </a:endParaRPr>
        </a:p>
        <a:p>
          <a:endParaRPr lang="en-US" sz="1200" b="0" i="0" u="none" strike="noStrike">
            <a:solidFill>
              <a:srgbClr val="000000"/>
            </a:solidFill>
            <a:latin typeface="Calibri"/>
            <a:ea typeface="Calibri"/>
            <a:cs typeface="Calibri"/>
          </a:endParaRPr>
        </a:p>
        <a:p>
          <a:r>
            <a:rPr lang="en-US" sz="1200" b="0" i="0" u="none" strike="noStrike">
              <a:solidFill>
                <a:srgbClr val="000000"/>
              </a:solidFill>
              <a:latin typeface="Calibri"/>
              <a:ea typeface="Calibri"/>
              <a:cs typeface="Calibri"/>
            </a:rPr>
            <a:t>        </a:t>
          </a:r>
        </a:p>
        <a:p>
          <a:r>
            <a:rPr lang="en-US" sz="1200" b="0" i="0" u="none" strike="noStrike">
              <a:solidFill>
                <a:srgbClr val="000000"/>
              </a:solidFill>
              <a:latin typeface="Calibri"/>
              <a:ea typeface="Calibri"/>
              <a:cs typeface="Calibri"/>
            </a:rPr>
            <a:t>            </a:t>
          </a:r>
          <a:fld id="{DCC5770A-5AE5-46C8-BA51-BA318A946325}" type="TxLink">
            <a:rPr lang="en-US" sz="1800" b="1" i="0" u="none" strike="noStrike">
              <a:solidFill>
                <a:srgbClr val="FF0066"/>
              </a:solidFill>
              <a:latin typeface="Bauhaus 93" panose="04030905020B02020C02" pitchFamily="82" charset="0"/>
              <a:ea typeface="Calibri"/>
              <a:cs typeface="Calibri"/>
            </a:rPr>
            <a:pPr/>
            <a:t>27%</a:t>
          </a:fld>
          <a:endParaRPr lang="en-IN" sz="1600" b="1">
            <a:solidFill>
              <a:srgbClr val="FF0066"/>
            </a:solidFill>
            <a:latin typeface="Bauhaus 93" panose="04030905020B02020C02" pitchFamily="82" charset="0"/>
          </a:endParaRPr>
        </a:p>
      </xdr:txBody>
    </xdr:sp>
    <xdr:clientData/>
  </xdr:twoCellAnchor>
  <xdr:twoCellAnchor>
    <xdr:from>
      <xdr:col>15</xdr:col>
      <xdr:colOff>403860</xdr:colOff>
      <xdr:row>6</xdr:row>
      <xdr:rowOff>45720</xdr:rowOff>
    </xdr:from>
    <xdr:to>
      <xdr:col>18</xdr:col>
      <xdr:colOff>68580</xdr:colOff>
      <xdr:row>11</xdr:row>
      <xdr:rowOff>160020</xdr:rowOff>
    </xdr:to>
    <xdr:sp macro="" textlink="Rough!G5">
      <xdr:nvSpPr>
        <xdr:cNvPr id="10" name="TextBox 9">
          <a:extLst>
            <a:ext uri="{FF2B5EF4-FFF2-40B4-BE49-F238E27FC236}">
              <a16:creationId xmlns:a16="http://schemas.microsoft.com/office/drawing/2014/main" id="{506D367E-DE05-2F66-7852-DF124BB35B37}"/>
            </a:ext>
          </a:extLst>
        </xdr:cNvPr>
        <xdr:cNvSpPr txBox="1"/>
      </xdr:nvSpPr>
      <xdr:spPr>
        <a:xfrm>
          <a:off x="9547860" y="1143000"/>
          <a:ext cx="1493520" cy="1028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1100" b="0" i="0" u="none" strike="noStrike">
            <a:solidFill>
              <a:srgbClr val="000000"/>
            </a:solidFill>
            <a:latin typeface="Calibri"/>
            <a:ea typeface="Calibri"/>
            <a:cs typeface="Calibri"/>
          </a:endParaRPr>
        </a:p>
        <a:p>
          <a:pPr algn="ctr"/>
          <a:endParaRPr lang="en-US" sz="1100" b="0" i="0" u="none" strike="noStrike">
            <a:solidFill>
              <a:srgbClr val="000000"/>
            </a:solidFill>
            <a:latin typeface="Calibri"/>
            <a:ea typeface="Calibri"/>
            <a:cs typeface="Calibri"/>
          </a:endParaRPr>
        </a:p>
        <a:p>
          <a:pPr algn="ctr"/>
          <a:endParaRPr lang="en-US" sz="1100" b="0" i="0" u="none" strike="noStrike">
            <a:solidFill>
              <a:srgbClr val="000000"/>
            </a:solidFill>
            <a:latin typeface="Calibri"/>
            <a:ea typeface="Calibri"/>
            <a:cs typeface="Calibri"/>
          </a:endParaRPr>
        </a:p>
        <a:p>
          <a:pPr algn="ctr"/>
          <a:fld id="{49461C47-2573-4891-9E69-D6E2BFD0AC02}" type="TxLink">
            <a:rPr lang="en-US" sz="1600" b="1" i="0" u="none" strike="noStrike">
              <a:solidFill>
                <a:srgbClr val="0070C0"/>
              </a:solidFill>
              <a:latin typeface="Bauhaus 93" panose="04030905020B02020C02" pitchFamily="82" charset="0"/>
              <a:ea typeface="Calibri"/>
              <a:cs typeface="Calibri"/>
            </a:rPr>
            <a:pPr algn="ctr"/>
            <a:t>146</a:t>
          </a:fld>
          <a:endParaRPr lang="en-IN" sz="1600" b="1" i="0">
            <a:solidFill>
              <a:srgbClr val="0070C0"/>
            </a:solidFill>
            <a:latin typeface="Bauhaus 93" panose="04030905020B02020C02" pitchFamily="82" charset="0"/>
          </a:endParaRPr>
        </a:p>
      </xdr:txBody>
    </xdr:sp>
    <xdr:clientData/>
  </xdr:twoCellAnchor>
  <xdr:twoCellAnchor>
    <xdr:from>
      <xdr:col>9</xdr:col>
      <xdr:colOff>129540</xdr:colOff>
      <xdr:row>6</xdr:row>
      <xdr:rowOff>106680</xdr:rowOff>
    </xdr:from>
    <xdr:to>
      <xdr:col>10</xdr:col>
      <xdr:colOff>495300</xdr:colOff>
      <xdr:row>11</xdr:row>
      <xdr:rowOff>144780</xdr:rowOff>
    </xdr:to>
    <xdr:sp macro="" textlink="">
      <xdr:nvSpPr>
        <xdr:cNvPr id="11" name="Flowchart: Connector 10">
          <a:extLst>
            <a:ext uri="{FF2B5EF4-FFF2-40B4-BE49-F238E27FC236}">
              <a16:creationId xmlns:a16="http://schemas.microsoft.com/office/drawing/2014/main" id="{65378F26-98A4-9117-698A-0DE0DAFCC140}"/>
            </a:ext>
          </a:extLst>
        </xdr:cNvPr>
        <xdr:cNvSpPr/>
      </xdr:nvSpPr>
      <xdr:spPr>
        <a:xfrm>
          <a:off x="5615940" y="1203960"/>
          <a:ext cx="975360" cy="952500"/>
        </a:xfrm>
        <a:prstGeom prst="flowChartConnector">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274320</xdr:colOff>
      <xdr:row>7</xdr:row>
      <xdr:rowOff>91440</xdr:rowOff>
    </xdr:from>
    <xdr:to>
      <xdr:col>10</xdr:col>
      <xdr:colOff>320040</xdr:colOff>
      <xdr:row>10</xdr:row>
      <xdr:rowOff>167640</xdr:rowOff>
    </xdr:to>
    <xdr:sp macro="" textlink="">
      <xdr:nvSpPr>
        <xdr:cNvPr id="16" name="Flowchart: Connector 15">
          <a:extLst>
            <a:ext uri="{FF2B5EF4-FFF2-40B4-BE49-F238E27FC236}">
              <a16:creationId xmlns:a16="http://schemas.microsoft.com/office/drawing/2014/main" id="{5B0B8755-839F-41B6-A301-858830087463}"/>
            </a:ext>
          </a:extLst>
        </xdr:cNvPr>
        <xdr:cNvSpPr/>
      </xdr:nvSpPr>
      <xdr:spPr>
        <a:xfrm>
          <a:off x="5760720" y="1371600"/>
          <a:ext cx="655320" cy="624840"/>
        </a:xfrm>
        <a:prstGeom prst="flowChartConnector">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9</xdr:col>
      <xdr:colOff>419100</xdr:colOff>
      <xdr:row>8</xdr:row>
      <xdr:rowOff>76200</xdr:rowOff>
    </xdr:from>
    <xdr:to>
      <xdr:col>10</xdr:col>
      <xdr:colOff>230160</xdr:colOff>
      <xdr:row>10</xdr:row>
      <xdr:rowOff>9170</xdr:rowOff>
    </xdr:to>
    <xdr:pic>
      <xdr:nvPicPr>
        <xdr:cNvPr id="18" name="Picture 17">
          <a:extLst>
            <a:ext uri="{FF2B5EF4-FFF2-40B4-BE49-F238E27FC236}">
              <a16:creationId xmlns:a16="http://schemas.microsoft.com/office/drawing/2014/main" id="{3C1AC420-A02E-4A4B-39ED-6251880DB3D0}"/>
            </a:ext>
          </a:extLst>
        </xdr:cNvPr>
        <xdr:cNvPicPr>
          <a:picLocks noChangeAspect="1"/>
        </xdr:cNvPicPr>
      </xdr:nvPicPr>
      <xdr:blipFill>
        <a:blip xmlns:r="http://schemas.openxmlformats.org/officeDocument/2006/relationships" r:embed="rId1"/>
        <a:stretch>
          <a:fillRect/>
        </a:stretch>
      </xdr:blipFill>
      <xdr:spPr>
        <a:xfrm>
          <a:off x="5905500" y="1539240"/>
          <a:ext cx="420660" cy="298730"/>
        </a:xfrm>
        <a:prstGeom prst="rect">
          <a:avLst/>
        </a:prstGeom>
      </xdr:spPr>
    </xdr:pic>
    <xdr:clientData/>
  </xdr:twoCellAnchor>
  <xdr:twoCellAnchor>
    <xdr:from>
      <xdr:col>9</xdr:col>
      <xdr:colOff>411480</xdr:colOff>
      <xdr:row>6</xdr:row>
      <xdr:rowOff>99060</xdr:rowOff>
    </xdr:from>
    <xdr:to>
      <xdr:col>10</xdr:col>
      <xdr:colOff>471934</xdr:colOff>
      <xdr:row>11</xdr:row>
      <xdr:rowOff>36540</xdr:rowOff>
    </xdr:to>
    <xdr:sp macro="" textlink="">
      <xdr:nvSpPr>
        <xdr:cNvPr id="19" name="Block Arc 18">
          <a:extLst>
            <a:ext uri="{FF2B5EF4-FFF2-40B4-BE49-F238E27FC236}">
              <a16:creationId xmlns:a16="http://schemas.microsoft.com/office/drawing/2014/main" id="{F2B1A514-29C7-48E9-93E3-11ED147E9761}"/>
            </a:ext>
          </a:extLst>
        </xdr:cNvPr>
        <xdr:cNvSpPr/>
      </xdr:nvSpPr>
      <xdr:spPr>
        <a:xfrm rot="3764680">
          <a:off x="5806967" y="1287253"/>
          <a:ext cx="851880" cy="670054"/>
        </a:xfrm>
        <a:prstGeom prst="blockArc">
          <a:avLst>
            <a:gd name="adj1" fmla="val 13862342"/>
            <a:gd name="adj2" fmla="val 19668305"/>
            <a:gd name="adj3" fmla="val 23953"/>
          </a:avLst>
        </a:prstGeom>
        <a:solidFill>
          <a:srgbClr val="FF006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14</xdr:col>
      <xdr:colOff>20954</xdr:colOff>
      <xdr:row>5</xdr:row>
      <xdr:rowOff>129540</xdr:rowOff>
    </xdr:from>
    <xdr:to>
      <xdr:col>15</xdr:col>
      <xdr:colOff>525780</xdr:colOff>
      <xdr:row>12</xdr:row>
      <xdr:rowOff>30480</xdr:rowOff>
    </xdr:to>
    <xdr:sp macro="" textlink="">
      <xdr:nvSpPr>
        <xdr:cNvPr id="20" name="Flowchart: Connector 19">
          <a:extLst>
            <a:ext uri="{FF2B5EF4-FFF2-40B4-BE49-F238E27FC236}">
              <a16:creationId xmlns:a16="http://schemas.microsoft.com/office/drawing/2014/main" id="{72706D00-990D-4E41-8A81-6A0DC99F3326}"/>
            </a:ext>
          </a:extLst>
        </xdr:cNvPr>
        <xdr:cNvSpPr/>
      </xdr:nvSpPr>
      <xdr:spPr>
        <a:xfrm>
          <a:off x="8555354" y="1043940"/>
          <a:ext cx="1114426" cy="1181100"/>
        </a:xfrm>
        <a:prstGeom prst="flowChartConnector">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190500</xdr:colOff>
      <xdr:row>6</xdr:row>
      <xdr:rowOff>91440</xdr:rowOff>
    </xdr:from>
    <xdr:to>
      <xdr:col>15</xdr:col>
      <xdr:colOff>373380</xdr:colOff>
      <xdr:row>11</xdr:row>
      <xdr:rowOff>60960</xdr:rowOff>
    </xdr:to>
    <xdr:sp macro="" textlink="">
      <xdr:nvSpPr>
        <xdr:cNvPr id="21" name="Flowchart: Connector 20">
          <a:extLst>
            <a:ext uri="{FF2B5EF4-FFF2-40B4-BE49-F238E27FC236}">
              <a16:creationId xmlns:a16="http://schemas.microsoft.com/office/drawing/2014/main" id="{6D9AB801-4801-45DF-8DF4-3AC14B8240E7}"/>
            </a:ext>
          </a:extLst>
        </xdr:cNvPr>
        <xdr:cNvSpPr/>
      </xdr:nvSpPr>
      <xdr:spPr>
        <a:xfrm>
          <a:off x="8724900" y="1188720"/>
          <a:ext cx="792480" cy="883920"/>
        </a:xfrm>
        <a:prstGeom prst="flowChartConnector">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600"/>
        </a:p>
      </xdr:txBody>
    </xdr:sp>
    <xdr:clientData/>
  </xdr:twoCellAnchor>
  <xdr:twoCellAnchor>
    <xdr:from>
      <xdr:col>14</xdr:col>
      <xdr:colOff>29308</xdr:colOff>
      <xdr:row>5</xdr:row>
      <xdr:rowOff>136117</xdr:rowOff>
    </xdr:from>
    <xdr:to>
      <xdr:col>15</xdr:col>
      <xdr:colOff>548082</xdr:colOff>
      <xdr:row>12</xdr:row>
      <xdr:rowOff>29096</xdr:rowOff>
    </xdr:to>
    <xdr:sp macro="" textlink="">
      <xdr:nvSpPr>
        <xdr:cNvPr id="24" name="Block Arc 23">
          <a:extLst>
            <a:ext uri="{FF2B5EF4-FFF2-40B4-BE49-F238E27FC236}">
              <a16:creationId xmlns:a16="http://schemas.microsoft.com/office/drawing/2014/main" id="{482732D1-4EF0-F69F-C9B1-3823BA93ACB5}"/>
            </a:ext>
          </a:extLst>
        </xdr:cNvPr>
        <xdr:cNvSpPr/>
      </xdr:nvSpPr>
      <xdr:spPr>
        <a:xfrm rot="16386886">
          <a:off x="8541325" y="1072900"/>
          <a:ext cx="1173139" cy="1128374"/>
        </a:xfrm>
        <a:prstGeom prst="blockArc">
          <a:avLst>
            <a:gd name="adj1" fmla="val 9153700"/>
            <a:gd name="adj2" fmla="val 2929490"/>
            <a:gd name="adj3" fmla="val 13857"/>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twoCellAnchor>
    <xdr:from>
      <xdr:col>14</xdr:col>
      <xdr:colOff>289560</xdr:colOff>
      <xdr:row>8</xdr:row>
      <xdr:rowOff>68580</xdr:rowOff>
    </xdr:from>
    <xdr:to>
      <xdr:col>15</xdr:col>
      <xdr:colOff>266700</xdr:colOff>
      <xdr:row>9</xdr:row>
      <xdr:rowOff>152400</xdr:rowOff>
    </xdr:to>
    <xdr:sp macro="" textlink="">
      <xdr:nvSpPr>
        <xdr:cNvPr id="26" name="TextBox 25">
          <a:extLst>
            <a:ext uri="{FF2B5EF4-FFF2-40B4-BE49-F238E27FC236}">
              <a16:creationId xmlns:a16="http://schemas.microsoft.com/office/drawing/2014/main" id="{528E01AD-CDC8-8D34-8C7F-5B6A59BBE354}"/>
            </a:ext>
          </a:extLst>
        </xdr:cNvPr>
        <xdr:cNvSpPr txBox="1"/>
      </xdr:nvSpPr>
      <xdr:spPr>
        <a:xfrm flipH="1">
          <a:off x="8823960" y="1531620"/>
          <a:ext cx="586740"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lgn="ctr"/>
          <a:r>
            <a:rPr lang="en-IN" sz="1200" b="1"/>
            <a:t>73%</a:t>
          </a:r>
        </a:p>
      </xdr:txBody>
    </xdr:sp>
    <xdr:clientData/>
  </xdr:twoCellAnchor>
  <xdr:twoCellAnchor editAs="oneCell">
    <xdr:from>
      <xdr:col>0</xdr:col>
      <xdr:colOff>403860</xdr:colOff>
      <xdr:row>5</xdr:row>
      <xdr:rowOff>0</xdr:rowOff>
    </xdr:from>
    <xdr:to>
      <xdr:col>3</xdr:col>
      <xdr:colOff>139080</xdr:colOff>
      <xdr:row>8</xdr:row>
      <xdr:rowOff>91440</xdr:rowOff>
    </xdr:to>
    <mc:AlternateContent xmlns:mc="http://schemas.openxmlformats.org/markup-compatibility/2006" xmlns:a14="http://schemas.microsoft.com/office/drawing/2010/main">
      <mc:Choice Requires="a14">
        <xdr:graphicFrame macro="">
          <xdr:nvGraphicFramePr>
            <xdr:cNvPr id="27" name="Gender">
              <a:extLst>
                <a:ext uri="{FF2B5EF4-FFF2-40B4-BE49-F238E27FC236}">
                  <a16:creationId xmlns:a16="http://schemas.microsoft.com/office/drawing/2014/main" id="{0CE9C353-BDE5-4266-BFA3-22B13E67C346}"/>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403860" y="896471"/>
              <a:ext cx="1564020" cy="6293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355449</xdr:colOff>
      <xdr:row>7</xdr:row>
      <xdr:rowOff>71717</xdr:rowOff>
    </xdr:from>
    <xdr:to>
      <xdr:col>6</xdr:col>
      <xdr:colOff>242047</xdr:colOff>
      <xdr:row>12</xdr:row>
      <xdr:rowOff>71718</xdr:rowOff>
    </xdr:to>
    <xdr:pic>
      <xdr:nvPicPr>
        <xdr:cNvPr id="29" name="Graphic 28" descr="Meeting with solid fill">
          <a:extLst>
            <a:ext uri="{FF2B5EF4-FFF2-40B4-BE49-F238E27FC236}">
              <a16:creationId xmlns:a16="http://schemas.microsoft.com/office/drawing/2014/main" id="{31BEFB53-D3FA-0048-D93D-1D0ED5B093B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793849" y="1326776"/>
          <a:ext cx="1105798" cy="896471"/>
        </a:xfrm>
        <a:prstGeom prst="rect">
          <a:avLst/>
        </a:prstGeom>
        <a:effectLst>
          <a:glow rad="25400">
            <a:schemeClr val="accent1">
              <a:alpha val="49000"/>
            </a:schemeClr>
          </a:glow>
        </a:effectLst>
      </xdr:spPr>
    </xdr:pic>
    <xdr:clientData/>
  </xdr:twoCellAnchor>
  <xdr:twoCellAnchor>
    <xdr:from>
      <xdr:col>19</xdr:col>
      <xdr:colOff>509198</xdr:colOff>
      <xdr:row>2</xdr:row>
      <xdr:rowOff>107577</xdr:rowOff>
    </xdr:from>
    <xdr:to>
      <xdr:col>22</xdr:col>
      <xdr:colOff>89648</xdr:colOff>
      <xdr:row>10</xdr:row>
      <xdr:rowOff>2690</xdr:rowOff>
    </xdr:to>
    <xdr:sp macro="" textlink="Rough!J5">
      <xdr:nvSpPr>
        <xdr:cNvPr id="30" name="TextBox 29">
          <a:extLst>
            <a:ext uri="{FF2B5EF4-FFF2-40B4-BE49-F238E27FC236}">
              <a16:creationId xmlns:a16="http://schemas.microsoft.com/office/drawing/2014/main" id="{39365549-7E2F-F27C-BF83-F2E6E0AD2B13}"/>
            </a:ext>
          </a:extLst>
        </xdr:cNvPr>
        <xdr:cNvSpPr txBox="1"/>
      </xdr:nvSpPr>
      <xdr:spPr>
        <a:xfrm>
          <a:off x="12091598" y="466165"/>
          <a:ext cx="1409250" cy="13294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fld id="{73254F35-9237-4D07-B4C3-2B9D729AFE60}" type="TxLink">
            <a:rPr lang="en-US" sz="2800" b="1" i="0" u="none" strike="noStrike">
              <a:solidFill>
                <a:srgbClr val="00B0F0"/>
              </a:solidFill>
              <a:latin typeface="Bauhaus 93" panose="04030905020B02020C02" pitchFamily="82" charset="0"/>
              <a:ea typeface="Calibri"/>
              <a:cs typeface="Calibri"/>
            </a:rPr>
            <a:pPr algn="l"/>
            <a:t>40</a:t>
          </a:fld>
          <a:endParaRPr lang="en-IN" sz="2800" b="1">
            <a:solidFill>
              <a:srgbClr val="00B0F0"/>
            </a:solidFill>
            <a:latin typeface="Bauhaus 93" panose="04030905020B02020C02" pitchFamily="82" charset="0"/>
          </a:endParaRPr>
        </a:p>
      </xdr:txBody>
    </xdr:sp>
    <xdr:clientData/>
  </xdr:twoCellAnchor>
  <xdr:twoCellAnchor>
    <xdr:from>
      <xdr:col>19</xdr:col>
      <xdr:colOff>448235</xdr:colOff>
      <xdr:row>3</xdr:row>
      <xdr:rowOff>103093</xdr:rowOff>
    </xdr:from>
    <xdr:to>
      <xdr:col>19</xdr:col>
      <xdr:colOff>609599</xdr:colOff>
      <xdr:row>4</xdr:row>
      <xdr:rowOff>71718</xdr:rowOff>
    </xdr:to>
    <xdr:sp macro="" textlink="">
      <xdr:nvSpPr>
        <xdr:cNvPr id="31" name="Flowchart: Connector 30">
          <a:extLst>
            <a:ext uri="{FF2B5EF4-FFF2-40B4-BE49-F238E27FC236}">
              <a16:creationId xmlns:a16="http://schemas.microsoft.com/office/drawing/2014/main" id="{87AFE43E-5220-3155-A2D1-873D8F490B9F}"/>
            </a:ext>
          </a:extLst>
        </xdr:cNvPr>
        <xdr:cNvSpPr/>
      </xdr:nvSpPr>
      <xdr:spPr>
        <a:xfrm flipH="1">
          <a:off x="12030635" y="640975"/>
          <a:ext cx="161364" cy="147919"/>
        </a:xfrm>
        <a:prstGeom prst="flowChartConnector">
          <a:avLst/>
        </a:prstGeom>
        <a:solidFill>
          <a:srgbClr val="00B0F0"/>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00B0F0"/>
            </a:solidFill>
          </a:endParaRPr>
        </a:p>
      </xdr:txBody>
    </xdr:sp>
    <xdr:clientData/>
  </xdr:twoCellAnchor>
  <xdr:twoCellAnchor editAs="oneCell">
    <xdr:from>
      <xdr:col>20</xdr:col>
      <xdr:colOff>465254</xdr:colOff>
      <xdr:row>7</xdr:row>
      <xdr:rowOff>38316</xdr:rowOff>
    </xdr:from>
    <xdr:to>
      <xdr:col>21</xdr:col>
      <xdr:colOff>569137</xdr:colOff>
      <xdr:row>10</xdr:row>
      <xdr:rowOff>76907</xdr:rowOff>
    </xdr:to>
    <xdr:pic>
      <xdr:nvPicPr>
        <xdr:cNvPr id="33" name="Graphic 32" descr="Arrow: Rotate left with solid fill">
          <a:extLst>
            <a:ext uri="{FF2B5EF4-FFF2-40B4-BE49-F238E27FC236}">
              <a16:creationId xmlns:a16="http://schemas.microsoft.com/office/drawing/2014/main" id="{876FA191-C45C-52B7-2072-D33A431089A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2155864">
          <a:off x="12657254" y="1293375"/>
          <a:ext cx="713483" cy="576473"/>
        </a:xfrm>
        <a:prstGeom prst="rect">
          <a:avLst/>
        </a:prstGeom>
      </xdr:spPr>
    </xdr:pic>
    <xdr:clientData/>
  </xdr:twoCellAnchor>
  <xdr:twoCellAnchor editAs="oneCell">
    <xdr:from>
      <xdr:col>8</xdr:col>
      <xdr:colOff>205740</xdr:colOff>
      <xdr:row>13</xdr:row>
      <xdr:rowOff>167640</xdr:rowOff>
    </xdr:from>
    <xdr:to>
      <xdr:col>14</xdr:col>
      <xdr:colOff>403860</xdr:colOff>
      <xdr:row>19</xdr:row>
      <xdr:rowOff>7620</xdr:rowOff>
    </xdr:to>
    <mc:AlternateContent xmlns:mc="http://schemas.openxmlformats.org/markup-compatibility/2006" xmlns:a14="http://schemas.microsoft.com/office/drawing/2010/main">
      <mc:Choice Requires="a14">
        <xdr:graphicFrame macro="">
          <xdr:nvGraphicFramePr>
            <xdr:cNvPr id="34" name="Department">
              <a:extLst>
                <a:ext uri="{FF2B5EF4-FFF2-40B4-BE49-F238E27FC236}">
                  <a16:creationId xmlns:a16="http://schemas.microsoft.com/office/drawing/2014/main" id="{75E2C642-70EB-41C8-8D75-25477F083F98}"/>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5082540" y="2498464"/>
              <a:ext cx="3855720" cy="91574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259976</xdr:colOff>
      <xdr:row>14</xdr:row>
      <xdr:rowOff>15240</xdr:rowOff>
    </xdr:from>
    <xdr:to>
      <xdr:col>5</xdr:col>
      <xdr:colOff>15240</xdr:colOff>
      <xdr:row>32</xdr:row>
      <xdr:rowOff>53788</xdr:rowOff>
    </xdr:to>
    <xdr:sp macro="" textlink="">
      <xdr:nvSpPr>
        <xdr:cNvPr id="12" name="Rectangle: Rounded Corners 11">
          <a:extLst>
            <a:ext uri="{FF2B5EF4-FFF2-40B4-BE49-F238E27FC236}">
              <a16:creationId xmlns:a16="http://schemas.microsoft.com/office/drawing/2014/main" id="{7CE6F5BD-703F-12B1-3CFC-E18468D4867C}"/>
            </a:ext>
          </a:extLst>
        </xdr:cNvPr>
        <xdr:cNvSpPr/>
      </xdr:nvSpPr>
      <xdr:spPr>
        <a:xfrm>
          <a:off x="259976" y="2525358"/>
          <a:ext cx="2803264" cy="3265842"/>
        </a:xfrm>
        <a:prstGeom prst="roundRect">
          <a:avLst/>
        </a:prstGeom>
        <a:solidFill>
          <a:schemeClr val="tx1">
            <a:lumMod val="65000"/>
            <a:lumOff val="35000"/>
            <a:alpha val="99000"/>
          </a:schemeClr>
        </a:solidFill>
        <a:ln>
          <a:solidFill>
            <a:schemeClr val="bg1"/>
          </a:solidFill>
        </a:ln>
        <a:effectLst>
          <a:glow rad="12700">
            <a:schemeClr val="accent1">
              <a:alpha val="40000"/>
            </a:schemeClr>
          </a:glow>
          <a:reflection blurRad="12700" stA="67000" endPos="1000" dist="50800" dir="5400000" sy="-100000" algn="bl" rotWithShape="0"/>
          <a:softEdge rad="254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233082</xdr:colOff>
      <xdr:row>33</xdr:row>
      <xdr:rowOff>35860</xdr:rowOff>
    </xdr:from>
    <xdr:to>
      <xdr:col>4</xdr:col>
      <xdr:colOff>480060</xdr:colOff>
      <xdr:row>52</xdr:row>
      <xdr:rowOff>170330</xdr:rowOff>
    </xdr:to>
    <xdr:sp macro="" textlink="">
      <xdr:nvSpPr>
        <xdr:cNvPr id="13" name="Rectangle: Rounded Corners 12">
          <a:extLst>
            <a:ext uri="{FF2B5EF4-FFF2-40B4-BE49-F238E27FC236}">
              <a16:creationId xmlns:a16="http://schemas.microsoft.com/office/drawing/2014/main" id="{D97F4399-7948-40D3-8228-3ED546A334A2}"/>
            </a:ext>
          </a:extLst>
        </xdr:cNvPr>
        <xdr:cNvSpPr/>
      </xdr:nvSpPr>
      <xdr:spPr>
        <a:xfrm>
          <a:off x="233082" y="5952566"/>
          <a:ext cx="2685378" cy="3541058"/>
        </a:xfrm>
        <a:prstGeom prst="roundRect">
          <a:avLst/>
        </a:prstGeom>
        <a:solidFill>
          <a:schemeClr val="bg1">
            <a:lumMod val="95000"/>
            <a:alpha val="99000"/>
          </a:schemeClr>
        </a:solidFill>
        <a:ln>
          <a:noFill/>
        </a:ln>
        <a:effectLst>
          <a:glow rad="12700">
            <a:schemeClr val="accent1">
              <a:alpha val="40000"/>
            </a:schemeClr>
          </a:glow>
          <a:reflection blurRad="12700" stA="67000" endPos="1000" dist="50800" dir="5400000" sy="-100000" algn="bl" rotWithShape="0"/>
          <a:softEdge rad="254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109818</xdr:colOff>
      <xdr:row>21</xdr:row>
      <xdr:rowOff>28238</xdr:rowOff>
    </xdr:from>
    <xdr:to>
      <xdr:col>9</xdr:col>
      <xdr:colOff>277906</xdr:colOff>
      <xdr:row>50</xdr:row>
      <xdr:rowOff>169432</xdr:rowOff>
    </xdr:to>
    <xdr:sp macro="" textlink="">
      <xdr:nvSpPr>
        <xdr:cNvPr id="15" name="Rectangle: Rounded Corners 14">
          <a:extLst>
            <a:ext uri="{FF2B5EF4-FFF2-40B4-BE49-F238E27FC236}">
              <a16:creationId xmlns:a16="http://schemas.microsoft.com/office/drawing/2014/main" id="{50C24BAD-852C-4015-90F2-25F14E572152}"/>
            </a:ext>
          </a:extLst>
        </xdr:cNvPr>
        <xdr:cNvSpPr/>
      </xdr:nvSpPr>
      <xdr:spPr>
        <a:xfrm>
          <a:off x="3157818" y="3793414"/>
          <a:ext cx="2606488" cy="5340724"/>
        </a:xfrm>
        <a:prstGeom prst="roundRect">
          <a:avLst/>
        </a:prstGeom>
        <a:solidFill>
          <a:schemeClr val="bg1">
            <a:lumMod val="95000"/>
            <a:alpha val="99000"/>
          </a:schemeClr>
        </a:solidFill>
        <a:ln>
          <a:solidFill>
            <a:schemeClr val="bg1"/>
          </a:solidFill>
        </a:ln>
        <a:effectLst>
          <a:glow rad="12700">
            <a:schemeClr val="accent1">
              <a:alpha val="40000"/>
            </a:schemeClr>
          </a:glow>
          <a:reflection blurRad="12700" stA="67000" endPos="1000" dist="50800" dir="5400000" sy="-100000" algn="bl" rotWithShape="0"/>
          <a:softEdge rad="254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457200</xdr:colOff>
      <xdr:row>20</xdr:row>
      <xdr:rowOff>173915</xdr:rowOff>
    </xdr:from>
    <xdr:to>
      <xdr:col>15</xdr:col>
      <xdr:colOff>421341</xdr:colOff>
      <xdr:row>38</xdr:row>
      <xdr:rowOff>25101</xdr:rowOff>
    </xdr:to>
    <xdr:sp macro="" textlink="">
      <xdr:nvSpPr>
        <xdr:cNvPr id="17" name="Rectangle: Rounded Corners 16">
          <a:extLst>
            <a:ext uri="{FF2B5EF4-FFF2-40B4-BE49-F238E27FC236}">
              <a16:creationId xmlns:a16="http://schemas.microsoft.com/office/drawing/2014/main" id="{65839C69-40EC-4577-A3AD-ED2AB2F8717F}"/>
            </a:ext>
          </a:extLst>
        </xdr:cNvPr>
        <xdr:cNvSpPr/>
      </xdr:nvSpPr>
      <xdr:spPr>
        <a:xfrm>
          <a:off x="5943600" y="3759797"/>
          <a:ext cx="3621741" cy="3078480"/>
        </a:xfrm>
        <a:prstGeom prst="roundRect">
          <a:avLst/>
        </a:prstGeom>
        <a:solidFill>
          <a:schemeClr val="bg1">
            <a:lumMod val="95000"/>
            <a:alpha val="99000"/>
          </a:schemeClr>
        </a:solidFill>
        <a:ln>
          <a:solidFill>
            <a:schemeClr val="bg1"/>
          </a:solidFill>
        </a:ln>
        <a:effectLst>
          <a:glow rad="12700">
            <a:schemeClr val="accent1">
              <a:alpha val="40000"/>
            </a:schemeClr>
          </a:glow>
          <a:reflection blurRad="12700" stA="67000" endPos="1000" dist="50800" dir="5400000" sy="-100000" algn="bl" rotWithShape="0"/>
          <a:softEdge rad="254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439271</xdr:colOff>
      <xdr:row>39</xdr:row>
      <xdr:rowOff>114300</xdr:rowOff>
    </xdr:from>
    <xdr:to>
      <xdr:col>15</xdr:col>
      <xdr:colOff>403412</xdr:colOff>
      <xdr:row>56</xdr:row>
      <xdr:rowOff>175260</xdr:rowOff>
    </xdr:to>
    <xdr:sp macro="" textlink="">
      <xdr:nvSpPr>
        <xdr:cNvPr id="22" name="Rectangle: Rounded Corners 21">
          <a:extLst>
            <a:ext uri="{FF2B5EF4-FFF2-40B4-BE49-F238E27FC236}">
              <a16:creationId xmlns:a16="http://schemas.microsoft.com/office/drawing/2014/main" id="{65465C34-0BC9-4497-917E-B8B489E2E901}"/>
            </a:ext>
          </a:extLst>
        </xdr:cNvPr>
        <xdr:cNvSpPr/>
      </xdr:nvSpPr>
      <xdr:spPr>
        <a:xfrm>
          <a:off x="5925671" y="7106771"/>
          <a:ext cx="3621741" cy="3108960"/>
        </a:xfrm>
        <a:prstGeom prst="roundRect">
          <a:avLst/>
        </a:prstGeom>
        <a:solidFill>
          <a:schemeClr val="bg1">
            <a:lumMod val="95000"/>
            <a:alpha val="99000"/>
          </a:schemeClr>
        </a:solidFill>
        <a:ln>
          <a:solidFill>
            <a:schemeClr val="bg1"/>
          </a:solidFill>
        </a:ln>
        <a:effectLst>
          <a:glow rad="12700">
            <a:schemeClr val="accent1">
              <a:alpha val="40000"/>
            </a:schemeClr>
          </a:glow>
          <a:reflection blurRad="12700" stA="67000" endPos="1000" dist="50800" dir="5400000" sy="-100000" algn="bl" rotWithShape="0"/>
          <a:softEdge rad="254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264906</xdr:colOff>
      <xdr:row>20</xdr:row>
      <xdr:rowOff>166296</xdr:rowOff>
    </xdr:from>
    <xdr:to>
      <xdr:col>22</xdr:col>
      <xdr:colOff>358588</xdr:colOff>
      <xdr:row>37</xdr:row>
      <xdr:rowOff>158676</xdr:rowOff>
    </xdr:to>
    <xdr:sp macro="" textlink="">
      <xdr:nvSpPr>
        <xdr:cNvPr id="23" name="Rectangle: Rounded Corners 22">
          <a:extLst>
            <a:ext uri="{FF2B5EF4-FFF2-40B4-BE49-F238E27FC236}">
              <a16:creationId xmlns:a16="http://schemas.microsoft.com/office/drawing/2014/main" id="{7357A710-0C27-474E-8439-45CF2FCCBDCA}"/>
            </a:ext>
          </a:extLst>
        </xdr:cNvPr>
        <xdr:cNvSpPr/>
      </xdr:nvSpPr>
      <xdr:spPr>
        <a:xfrm>
          <a:off x="10018506" y="3752178"/>
          <a:ext cx="3751282" cy="3040380"/>
        </a:xfrm>
        <a:prstGeom prst="roundRect">
          <a:avLst/>
        </a:prstGeom>
        <a:solidFill>
          <a:schemeClr val="bg1">
            <a:lumMod val="95000"/>
            <a:alpha val="99000"/>
          </a:schemeClr>
        </a:solidFill>
        <a:ln>
          <a:solidFill>
            <a:schemeClr val="bg1"/>
          </a:solidFill>
        </a:ln>
        <a:effectLst>
          <a:glow rad="12700">
            <a:schemeClr val="accent1">
              <a:alpha val="40000"/>
            </a:schemeClr>
          </a:glow>
          <a:reflection blurRad="12700" stA="67000" endPos="1000" dist="50800" dir="5400000" sy="-100000" algn="bl" rotWithShape="0"/>
          <a:softEdge rad="254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313765</xdr:colOff>
      <xdr:row>39</xdr:row>
      <xdr:rowOff>68580</xdr:rowOff>
    </xdr:from>
    <xdr:to>
      <xdr:col>22</xdr:col>
      <xdr:colOff>421341</xdr:colOff>
      <xdr:row>56</xdr:row>
      <xdr:rowOff>121920</xdr:rowOff>
    </xdr:to>
    <xdr:sp macro="" textlink="">
      <xdr:nvSpPr>
        <xdr:cNvPr id="25" name="Rectangle: Rounded Corners 24">
          <a:extLst>
            <a:ext uri="{FF2B5EF4-FFF2-40B4-BE49-F238E27FC236}">
              <a16:creationId xmlns:a16="http://schemas.microsoft.com/office/drawing/2014/main" id="{97B1AFA4-8118-4A28-A438-55311197FEBD}"/>
            </a:ext>
          </a:extLst>
        </xdr:cNvPr>
        <xdr:cNvSpPr/>
      </xdr:nvSpPr>
      <xdr:spPr>
        <a:xfrm>
          <a:off x="10067365" y="7061051"/>
          <a:ext cx="3765176" cy="3101340"/>
        </a:xfrm>
        <a:prstGeom prst="roundRect">
          <a:avLst/>
        </a:prstGeom>
        <a:solidFill>
          <a:schemeClr val="bg1">
            <a:lumMod val="95000"/>
            <a:alpha val="99000"/>
          </a:schemeClr>
        </a:solidFill>
        <a:ln>
          <a:solidFill>
            <a:schemeClr val="bg1"/>
          </a:solidFill>
        </a:ln>
        <a:effectLst>
          <a:glow rad="12700">
            <a:schemeClr val="accent1">
              <a:alpha val="40000"/>
            </a:schemeClr>
          </a:glow>
          <a:reflection blurRad="12700" stA="67000" endPos="1000" dist="50800" dir="5400000" sy="-100000" algn="bl" rotWithShape="0"/>
          <a:softEdge rad="254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62752</xdr:colOff>
      <xdr:row>22</xdr:row>
      <xdr:rowOff>170329</xdr:rowOff>
    </xdr:from>
    <xdr:to>
      <xdr:col>15</xdr:col>
      <xdr:colOff>206187</xdr:colOff>
      <xdr:row>37</xdr:row>
      <xdr:rowOff>53789</xdr:rowOff>
    </xdr:to>
    <xdr:graphicFrame macro="">
      <xdr:nvGraphicFramePr>
        <xdr:cNvPr id="28" name="Chart 27">
          <a:extLst>
            <a:ext uri="{FF2B5EF4-FFF2-40B4-BE49-F238E27FC236}">
              <a16:creationId xmlns:a16="http://schemas.microsoft.com/office/drawing/2014/main" id="{5765FEE8-C381-4D59-8094-B97D865102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236220</xdr:colOff>
      <xdr:row>21</xdr:row>
      <xdr:rowOff>91440</xdr:rowOff>
    </xdr:from>
    <xdr:to>
      <xdr:col>14</xdr:col>
      <xdr:colOff>449580</xdr:colOff>
      <xdr:row>22</xdr:row>
      <xdr:rowOff>175260</xdr:rowOff>
    </xdr:to>
    <xdr:sp macro="" textlink="">
      <xdr:nvSpPr>
        <xdr:cNvPr id="32" name="TextBox 31">
          <a:extLst>
            <a:ext uri="{FF2B5EF4-FFF2-40B4-BE49-F238E27FC236}">
              <a16:creationId xmlns:a16="http://schemas.microsoft.com/office/drawing/2014/main" id="{6B097801-03EA-97C4-BE95-C9156A6C31BA}"/>
            </a:ext>
          </a:extLst>
        </xdr:cNvPr>
        <xdr:cNvSpPr txBox="1"/>
      </xdr:nvSpPr>
      <xdr:spPr>
        <a:xfrm>
          <a:off x="6332220" y="3931920"/>
          <a:ext cx="2651760" cy="2667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latin typeface="Arial" panose="020B0604020202020204" pitchFamily="34" charset="0"/>
              <a:cs typeface="Arial" panose="020B0604020202020204" pitchFamily="34" charset="0"/>
            </a:rPr>
            <a:t>Attrition by Job Role</a:t>
          </a:r>
        </a:p>
      </xdr:txBody>
    </xdr:sp>
    <xdr:clientData/>
  </xdr:twoCellAnchor>
  <xdr:twoCellAnchor>
    <xdr:from>
      <xdr:col>16</xdr:col>
      <xdr:colOff>556260</xdr:colOff>
      <xdr:row>41</xdr:row>
      <xdr:rowOff>106680</xdr:rowOff>
    </xdr:from>
    <xdr:to>
      <xdr:col>22</xdr:col>
      <xdr:colOff>327660</xdr:colOff>
      <xdr:row>54</xdr:row>
      <xdr:rowOff>99060</xdr:rowOff>
    </xdr:to>
    <xdr:graphicFrame macro="">
      <xdr:nvGraphicFramePr>
        <xdr:cNvPr id="35" name="Chart 34">
          <a:extLst>
            <a:ext uri="{FF2B5EF4-FFF2-40B4-BE49-F238E27FC236}">
              <a16:creationId xmlns:a16="http://schemas.microsoft.com/office/drawing/2014/main" id="{F634A876-6E76-4B74-B76A-F0F246B10B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510540</xdr:colOff>
      <xdr:row>39</xdr:row>
      <xdr:rowOff>175260</xdr:rowOff>
    </xdr:from>
    <xdr:to>
      <xdr:col>21</xdr:col>
      <xdr:colOff>594360</xdr:colOff>
      <xdr:row>41</xdr:row>
      <xdr:rowOff>106680</xdr:rowOff>
    </xdr:to>
    <xdr:sp macro="" textlink="">
      <xdr:nvSpPr>
        <xdr:cNvPr id="36" name="TextBox 35">
          <a:extLst>
            <a:ext uri="{FF2B5EF4-FFF2-40B4-BE49-F238E27FC236}">
              <a16:creationId xmlns:a16="http://schemas.microsoft.com/office/drawing/2014/main" id="{1AF443EF-7342-4F0F-E4BC-37A591D0B724}"/>
            </a:ext>
          </a:extLst>
        </xdr:cNvPr>
        <xdr:cNvSpPr txBox="1"/>
      </xdr:nvSpPr>
      <xdr:spPr>
        <a:xfrm>
          <a:off x="10873740" y="7307580"/>
          <a:ext cx="2522220" cy="29718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latin typeface="Arial" panose="020B0604020202020204" pitchFamily="34" charset="0"/>
              <a:cs typeface="Arial" panose="020B0604020202020204" pitchFamily="34" charset="0"/>
            </a:rPr>
            <a:t>Attrition by Education Level</a:t>
          </a:r>
        </a:p>
      </xdr:txBody>
    </xdr:sp>
    <xdr:clientData/>
  </xdr:twoCellAnchor>
  <xdr:twoCellAnchor>
    <xdr:from>
      <xdr:col>16</xdr:col>
      <xdr:colOff>394896</xdr:colOff>
      <xdr:row>23</xdr:row>
      <xdr:rowOff>4931</xdr:rowOff>
    </xdr:from>
    <xdr:to>
      <xdr:col>22</xdr:col>
      <xdr:colOff>51996</xdr:colOff>
      <xdr:row>36</xdr:row>
      <xdr:rowOff>62305</xdr:rowOff>
    </xdr:to>
    <xdr:graphicFrame macro="">
      <xdr:nvGraphicFramePr>
        <xdr:cNvPr id="37" name="Chart 36">
          <a:extLst>
            <a:ext uri="{FF2B5EF4-FFF2-40B4-BE49-F238E27FC236}">
              <a16:creationId xmlns:a16="http://schemas.microsoft.com/office/drawing/2014/main" id="{1E10FBCA-15DA-48D9-AC8C-1EB5850157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35859</xdr:colOff>
      <xdr:row>21</xdr:row>
      <xdr:rowOff>107578</xdr:rowOff>
    </xdr:from>
    <xdr:to>
      <xdr:col>21</xdr:col>
      <xdr:colOff>434340</xdr:colOff>
      <xdr:row>23</xdr:row>
      <xdr:rowOff>45721</xdr:rowOff>
    </xdr:to>
    <xdr:sp macro="" textlink="">
      <xdr:nvSpPr>
        <xdr:cNvPr id="38" name="TextBox 37">
          <a:extLst>
            <a:ext uri="{FF2B5EF4-FFF2-40B4-BE49-F238E27FC236}">
              <a16:creationId xmlns:a16="http://schemas.microsoft.com/office/drawing/2014/main" id="{4D6C2FDD-0921-B85F-9EBE-0BFB0A150A7A}"/>
            </a:ext>
          </a:extLst>
        </xdr:cNvPr>
        <xdr:cNvSpPr txBox="1"/>
      </xdr:nvSpPr>
      <xdr:spPr>
        <a:xfrm>
          <a:off x="10399059" y="3872754"/>
          <a:ext cx="2836881" cy="29673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latin typeface="Arial" panose="020B0604020202020204" pitchFamily="34" charset="0"/>
              <a:cs typeface="Arial" panose="020B0604020202020204" pitchFamily="34" charset="0"/>
            </a:rPr>
            <a:t>Attrition Rate by Department</a:t>
          </a:r>
        </a:p>
      </xdr:txBody>
    </xdr:sp>
    <xdr:clientData/>
  </xdr:twoCellAnchor>
  <xdr:twoCellAnchor>
    <xdr:from>
      <xdr:col>9</xdr:col>
      <xdr:colOff>525780</xdr:colOff>
      <xdr:row>42</xdr:row>
      <xdr:rowOff>137160</xdr:rowOff>
    </xdr:from>
    <xdr:to>
      <xdr:col>15</xdr:col>
      <xdr:colOff>236220</xdr:colOff>
      <xdr:row>54</xdr:row>
      <xdr:rowOff>30480</xdr:rowOff>
    </xdr:to>
    <mc:AlternateContent xmlns:mc="http://schemas.openxmlformats.org/markup-compatibility/2006">
      <mc:Choice xmlns:cx1="http://schemas.microsoft.com/office/drawing/2015/9/8/chartex" Requires="cx1">
        <xdr:graphicFrame macro="">
          <xdr:nvGraphicFramePr>
            <xdr:cNvPr id="39" name="Chart 38">
              <a:extLst>
                <a:ext uri="{FF2B5EF4-FFF2-40B4-BE49-F238E27FC236}">
                  <a16:creationId xmlns:a16="http://schemas.microsoft.com/office/drawing/2014/main" id="{1E0044AF-8E21-480D-8084-7B9B697F32D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6012180" y="7818120"/>
              <a:ext cx="3368040" cy="208788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441960</xdr:colOff>
      <xdr:row>40</xdr:row>
      <xdr:rowOff>83820</xdr:rowOff>
    </xdr:from>
    <xdr:to>
      <xdr:col>14</xdr:col>
      <xdr:colOff>274320</xdr:colOff>
      <xdr:row>42</xdr:row>
      <xdr:rowOff>45720</xdr:rowOff>
    </xdr:to>
    <xdr:sp macro="" textlink="">
      <xdr:nvSpPr>
        <xdr:cNvPr id="40" name="TextBox 39">
          <a:extLst>
            <a:ext uri="{FF2B5EF4-FFF2-40B4-BE49-F238E27FC236}">
              <a16:creationId xmlns:a16="http://schemas.microsoft.com/office/drawing/2014/main" id="{E0ACB561-735B-6BE6-A9F4-88ABF6075807}"/>
            </a:ext>
          </a:extLst>
        </xdr:cNvPr>
        <xdr:cNvSpPr txBox="1"/>
      </xdr:nvSpPr>
      <xdr:spPr>
        <a:xfrm>
          <a:off x="6537960" y="7399020"/>
          <a:ext cx="227076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latin typeface="Arial" panose="020B0604020202020204" pitchFamily="34" charset="0"/>
              <a:cs typeface="Arial" panose="020B0604020202020204" pitchFamily="34" charset="0"/>
            </a:rPr>
            <a:t>Attrition by Marital Status</a:t>
          </a:r>
        </a:p>
      </xdr:txBody>
    </xdr:sp>
    <xdr:clientData/>
  </xdr:twoCellAnchor>
  <xdr:twoCellAnchor>
    <xdr:from>
      <xdr:col>5</xdr:col>
      <xdr:colOff>349176</xdr:colOff>
      <xdr:row>24</xdr:row>
      <xdr:rowOff>170329</xdr:rowOff>
    </xdr:from>
    <xdr:to>
      <xdr:col>9</xdr:col>
      <xdr:colOff>53788</xdr:colOff>
      <xdr:row>27</xdr:row>
      <xdr:rowOff>152400</xdr:rowOff>
    </xdr:to>
    <xdr:sp macro="" textlink="">
      <xdr:nvSpPr>
        <xdr:cNvPr id="42" name="TextBox 41">
          <a:extLst>
            <a:ext uri="{FF2B5EF4-FFF2-40B4-BE49-F238E27FC236}">
              <a16:creationId xmlns:a16="http://schemas.microsoft.com/office/drawing/2014/main" id="{1D18F0F9-609C-7A94-CCB8-D79C4D076013}"/>
            </a:ext>
          </a:extLst>
        </xdr:cNvPr>
        <xdr:cNvSpPr txBox="1"/>
      </xdr:nvSpPr>
      <xdr:spPr>
        <a:xfrm>
          <a:off x="3397176" y="4473388"/>
          <a:ext cx="2143012" cy="519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latin typeface="Arial" panose="020B0604020202020204" pitchFamily="34" charset="0"/>
              <a:cs typeface="Arial" panose="020B0604020202020204" pitchFamily="34" charset="0"/>
            </a:rPr>
            <a:t>Attrition by Age Group</a:t>
          </a:r>
        </a:p>
      </xdr:txBody>
    </xdr:sp>
    <xdr:clientData/>
  </xdr:twoCellAnchor>
  <xdr:twoCellAnchor>
    <xdr:from>
      <xdr:col>1</xdr:col>
      <xdr:colOff>76200</xdr:colOff>
      <xdr:row>15</xdr:row>
      <xdr:rowOff>45720</xdr:rowOff>
    </xdr:from>
    <xdr:to>
      <xdr:col>4</xdr:col>
      <xdr:colOff>220980</xdr:colOff>
      <xdr:row>17</xdr:row>
      <xdr:rowOff>7620</xdr:rowOff>
    </xdr:to>
    <xdr:sp macro="" textlink="">
      <xdr:nvSpPr>
        <xdr:cNvPr id="45" name="TextBox 44">
          <a:extLst>
            <a:ext uri="{FF2B5EF4-FFF2-40B4-BE49-F238E27FC236}">
              <a16:creationId xmlns:a16="http://schemas.microsoft.com/office/drawing/2014/main" id="{B0E7202D-E602-A8B5-192A-14A239A3B54E}"/>
            </a:ext>
          </a:extLst>
        </xdr:cNvPr>
        <xdr:cNvSpPr txBox="1"/>
      </xdr:nvSpPr>
      <xdr:spPr>
        <a:xfrm>
          <a:off x="685800" y="2788920"/>
          <a:ext cx="1973580" cy="327660"/>
        </a:xfrm>
        <a:prstGeom prst="rect">
          <a:avLst/>
        </a:prstGeom>
        <a:solidFill>
          <a:schemeClr val="tx1">
            <a:lumMod val="65000"/>
            <a:lumOff val="3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solidFill>
                <a:schemeClr val="bg1"/>
              </a:solidFill>
            </a:rPr>
            <a:t>Salary by Attrition Status</a:t>
          </a:r>
        </a:p>
        <a:p>
          <a:endParaRPr lang="en-IN" sz="1100"/>
        </a:p>
      </xdr:txBody>
    </xdr:sp>
    <xdr:clientData/>
  </xdr:twoCellAnchor>
  <xdr:twoCellAnchor>
    <xdr:from>
      <xdr:col>0</xdr:col>
      <xdr:colOff>388620</xdr:colOff>
      <xdr:row>17</xdr:row>
      <xdr:rowOff>99060</xdr:rowOff>
    </xdr:from>
    <xdr:to>
      <xdr:col>4</xdr:col>
      <xdr:colOff>480060</xdr:colOff>
      <xdr:row>28</xdr:row>
      <xdr:rowOff>38100</xdr:rowOff>
    </xdr:to>
    <xdr:graphicFrame macro="">
      <xdr:nvGraphicFramePr>
        <xdr:cNvPr id="47" name="Chart 46">
          <a:extLst>
            <a:ext uri="{FF2B5EF4-FFF2-40B4-BE49-F238E27FC236}">
              <a16:creationId xmlns:a16="http://schemas.microsoft.com/office/drawing/2014/main" id="{F33FD4DB-46F1-419C-9EDA-232C4F6221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396240</xdr:colOff>
      <xdr:row>35</xdr:row>
      <xdr:rowOff>175260</xdr:rowOff>
    </xdr:from>
    <xdr:to>
      <xdr:col>4</xdr:col>
      <xdr:colOff>441960</xdr:colOff>
      <xdr:row>51</xdr:row>
      <xdr:rowOff>76200</xdr:rowOff>
    </xdr:to>
    <mc:AlternateContent xmlns:mc="http://schemas.openxmlformats.org/markup-compatibility/2006">
      <mc:Choice xmlns:cx1="http://schemas.microsoft.com/office/drawing/2015/9/8/chartex" Requires="cx1">
        <xdr:graphicFrame macro="">
          <xdr:nvGraphicFramePr>
            <xdr:cNvPr id="48" name="Chart 47">
              <a:extLst>
                <a:ext uri="{FF2B5EF4-FFF2-40B4-BE49-F238E27FC236}">
                  <a16:creationId xmlns:a16="http://schemas.microsoft.com/office/drawing/2014/main" id="{D40FB359-0CB4-4021-ABFD-A6F561871B2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396240" y="6576060"/>
              <a:ext cx="2484120" cy="282702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586740</xdr:colOff>
      <xdr:row>34</xdr:row>
      <xdr:rowOff>15240</xdr:rowOff>
    </xdr:from>
    <xdr:to>
      <xdr:col>4</xdr:col>
      <xdr:colOff>297180</xdr:colOff>
      <xdr:row>35</xdr:row>
      <xdr:rowOff>129540</xdr:rowOff>
    </xdr:to>
    <xdr:sp macro="" textlink="">
      <xdr:nvSpPr>
        <xdr:cNvPr id="49" name="TextBox 48">
          <a:extLst>
            <a:ext uri="{FF2B5EF4-FFF2-40B4-BE49-F238E27FC236}">
              <a16:creationId xmlns:a16="http://schemas.microsoft.com/office/drawing/2014/main" id="{FF1F760F-DE88-E4D0-598F-9F02360B8A9D}"/>
            </a:ext>
          </a:extLst>
        </xdr:cNvPr>
        <xdr:cNvSpPr txBox="1"/>
      </xdr:nvSpPr>
      <xdr:spPr>
        <a:xfrm>
          <a:off x="586740" y="6233160"/>
          <a:ext cx="2148840" cy="29718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000" b="1">
              <a:solidFill>
                <a:sysClr val="windowText" lastClr="000000"/>
              </a:solidFill>
              <a:latin typeface="Arial" panose="020B0604020202020204" pitchFamily="34" charset="0"/>
              <a:cs typeface="Arial" panose="020B0604020202020204" pitchFamily="34" charset="0"/>
            </a:rPr>
            <a:t>Salary Range by Department</a:t>
          </a:r>
        </a:p>
        <a:p>
          <a:endParaRPr lang="en-IN" sz="1100"/>
        </a:p>
      </xdr:txBody>
    </xdr:sp>
    <xdr:clientData/>
  </xdr:twoCellAnchor>
  <xdr:twoCellAnchor>
    <xdr:from>
      <xdr:col>5</xdr:col>
      <xdr:colOff>116540</xdr:colOff>
      <xdr:row>25</xdr:row>
      <xdr:rowOff>17930</xdr:rowOff>
    </xdr:from>
    <xdr:to>
      <xdr:col>9</xdr:col>
      <xdr:colOff>47960</xdr:colOff>
      <xdr:row>48</xdr:row>
      <xdr:rowOff>69925</xdr:rowOff>
    </xdr:to>
    <xdr:graphicFrame macro="">
      <xdr:nvGraphicFramePr>
        <xdr:cNvPr id="51" name="Chart 50">
          <a:extLst>
            <a:ext uri="{FF2B5EF4-FFF2-40B4-BE49-F238E27FC236}">
              <a16:creationId xmlns:a16="http://schemas.microsoft.com/office/drawing/2014/main" id="{343B59DF-9262-4A1A-A5A4-1BA739B090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322728</xdr:colOff>
      <xdr:row>6</xdr:row>
      <xdr:rowOff>26894</xdr:rowOff>
    </xdr:from>
    <xdr:to>
      <xdr:col>8</xdr:col>
      <xdr:colOff>277905</xdr:colOff>
      <xdr:row>7</xdr:row>
      <xdr:rowOff>179293</xdr:rowOff>
    </xdr:to>
    <xdr:sp macro="" textlink="">
      <xdr:nvSpPr>
        <xdr:cNvPr id="14" name="TextBox 13">
          <a:extLst>
            <a:ext uri="{FF2B5EF4-FFF2-40B4-BE49-F238E27FC236}">
              <a16:creationId xmlns:a16="http://schemas.microsoft.com/office/drawing/2014/main" id="{FF58D44E-5476-CA5A-EFF7-2ADA931DA0F0}"/>
            </a:ext>
          </a:extLst>
        </xdr:cNvPr>
        <xdr:cNvSpPr txBox="1"/>
      </xdr:nvSpPr>
      <xdr:spPr>
        <a:xfrm>
          <a:off x="3370728" y="1102659"/>
          <a:ext cx="1783977" cy="3316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rgbClr val="00B0F0"/>
              </a:solidFill>
              <a:latin typeface="Bahnschrift" panose="020B0502040204020203" pitchFamily="34" charset="0"/>
            </a:rPr>
            <a:t>Total Employees</a:t>
          </a:r>
        </a:p>
      </xdr:txBody>
    </xdr:sp>
    <xdr:clientData/>
  </xdr:twoCellAnchor>
  <xdr:twoCellAnchor>
    <xdr:from>
      <xdr:col>10</xdr:col>
      <xdr:colOff>546847</xdr:colOff>
      <xdr:row>6</xdr:row>
      <xdr:rowOff>125506</xdr:rowOff>
    </xdr:from>
    <xdr:to>
      <xdr:col>13</xdr:col>
      <xdr:colOff>188259</xdr:colOff>
      <xdr:row>8</xdr:row>
      <xdr:rowOff>134471</xdr:rowOff>
    </xdr:to>
    <xdr:sp macro="" textlink="">
      <xdr:nvSpPr>
        <xdr:cNvPr id="41" name="TextBox 40">
          <a:extLst>
            <a:ext uri="{FF2B5EF4-FFF2-40B4-BE49-F238E27FC236}">
              <a16:creationId xmlns:a16="http://schemas.microsoft.com/office/drawing/2014/main" id="{34145220-D4DB-DDDD-BDA6-0E07B9D8FA68}"/>
            </a:ext>
          </a:extLst>
        </xdr:cNvPr>
        <xdr:cNvSpPr txBox="1"/>
      </xdr:nvSpPr>
      <xdr:spPr>
        <a:xfrm>
          <a:off x="6642847" y="1201271"/>
          <a:ext cx="1470212" cy="3675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rgbClr val="FF0066"/>
              </a:solidFill>
              <a:latin typeface="Bahnschrift" panose="020B0502040204020203" pitchFamily="34" charset="0"/>
            </a:rPr>
            <a:t>Attrition Rate</a:t>
          </a:r>
        </a:p>
      </xdr:txBody>
    </xdr:sp>
    <xdr:clientData/>
  </xdr:twoCellAnchor>
  <xdr:twoCellAnchor>
    <xdr:from>
      <xdr:col>15</xdr:col>
      <xdr:colOff>573742</xdr:colOff>
      <xdr:row>6</xdr:row>
      <xdr:rowOff>71716</xdr:rowOff>
    </xdr:from>
    <xdr:to>
      <xdr:col>18</xdr:col>
      <xdr:colOff>71718</xdr:colOff>
      <xdr:row>9</xdr:row>
      <xdr:rowOff>125505</xdr:rowOff>
    </xdr:to>
    <xdr:sp macro="" textlink="">
      <xdr:nvSpPr>
        <xdr:cNvPr id="43" name="TextBox 42">
          <a:extLst>
            <a:ext uri="{FF2B5EF4-FFF2-40B4-BE49-F238E27FC236}">
              <a16:creationId xmlns:a16="http://schemas.microsoft.com/office/drawing/2014/main" id="{73B7BB5D-4E45-DCBD-2B99-F596C6863B5C}"/>
            </a:ext>
          </a:extLst>
        </xdr:cNvPr>
        <xdr:cNvSpPr txBox="1"/>
      </xdr:nvSpPr>
      <xdr:spPr>
        <a:xfrm>
          <a:off x="9717742" y="1147481"/>
          <a:ext cx="1326776" cy="5916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solidFill>
                <a:srgbClr val="0070C0"/>
              </a:solidFill>
              <a:latin typeface="Bahnschrift" panose="020B0502040204020203" pitchFamily="34" charset="0"/>
            </a:rPr>
            <a:t>Active Employees</a:t>
          </a:r>
        </a:p>
      </xdr:txBody>
    </xdr:sp>
    <xdr:clientData/>
  </xdr:twoCellAnchor>
  <xdr:twoCellAnchor>
    <xdr:from>
      <xdr:col>19</xdr:col>
      <xdr:colOff>600635</xdr:colOff>
      <xdr:row>2</xdr:row>
      <xdr:rowOff>152400</xdr:rowOff>
    </xdr:from>
    <xdr:to>
      <xdr:col>21</xdr:col>
      <xdr:colOff>546847</xdr:colOff>
      <xdr:row>7</xdr:row>
      <xdr:rowOff>44823</xdr:rowOff>
    </xdr:to>
    <xdr:sp macro="" textlink="">
      <xdr:nvSpPr>
        <xdr:cNvPr id="44" name="TextBox 43">
          <a:extLst>
            <a:ext uri="{FF2B5EF4-FFF2-40B4-BE49-F238E27FC236}">
              <a16:creationId xmlns:a16="http://schemas.microsoft.com/office/drawing/2014/main" id="{91C9D9FB-5695-F87A-6BC1-68E6F42B8E8C}"/>
            </a:ext>
          </a:extLst>
        </xdr:cNvPr>
        <xdr:cNvSpPr txBox="1"/>
      </xdr:nvSpPr>
      <xdr:spPr>
        <a:xfrm>
          <a:off x="12183035" y="510988"/>
          <a:ext cx="1165412" cy="78889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rgbClr val="00B0F0"/>
              </a:solidFill>
              <a:latin typeface="Bahnschrift" panose="020B0502040204020203" pitchFamily="34" charset="0"/>
            </a:rPr>
            <a:t>Average Age</a:t>
          </a:r>
        </a:p>
      </xdr:txBody>
    </xdr:sp>
    <xdr:clientData/>
  </xdr:twoCellAnchor>
  <xdr:twoCellAnchor editAs="oneCell">
    <xdr:from>
      <xdr:col>21</xdr:col>
      <xdr:colOff>485438</xdr:colOff>
      <xdr:row>4</xdr:row>
      <xdr:rowOff>116541</xdr:rowOff>
    </xdr:from>
    <xdr:to>
      <xdr:col>22</xdr:col>
      <xdr:colOff>439270</xdr:colOff>
      <xdr:row>7</xdr:row>
      <xdr:rowOff>142090</xdr:rowOff>
    </xdr:to>
    <xdr:pic macro="[0]!Refresh_All_Pivots">
      <xdr:nvPicPr>
        <xdr:cNvPr id="46" name="Graphic 45" descr="Target with solid fill">
          <a:extLst>
            <a:ext uri="{FF2B5EF4-FFF2-40B4-BE49-F238E27FC236}">
              <a16:creationId xmlns:a16="http://schemas.microsoft.com/office/drawing/2014/main" id="{020E1AC7-97F1-4FFC-9ECB-703F8673AFB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3287038" y="833717"/>
          <a:ext cx="563432" cy="563432"/>
        </a:xfrm>
        <a:prstGeom prst="rect">
          <a:avLst/>
        </a:prstGeom>
      </xdr:spPr>
    </xdr:pic>
    <xdr:clientData/>
  </xdr:twoCellAnchor>
  <xdr:twoCellAnchor editAs="oneCell">
    <xdr:from>
      <xdr:col>12</xdr:col>
      <xdr:colOff>81579</xdr:colOff>
      <xdr:row>1</xdr:row>
      <xdr:rowOff>153296</xdr:rowOff>
    </xdr:from>
    <xdr:to>
      <xdr:col>12</xdr:col>
      <xdr:colOff>600636</xdr:colOff>
      <xdr:row>4</xdr:row>
      <xdr:rowOff>134471</xdr:rowOff>
    </xdr:to>
    <xdr:pic macro="[0]!Toggle_Zoom">
      <xdr:nvPicPr>
        <xdr:cNvPr id="50" name="Graphic 49" descr="Eye with solid fill">
          <a:extLst>
            <a:ext uri="{FF2B5EF4-FFF2-40B4-BE49-F238E27FC236}">
              <a16:creationId xmlns:a16="http://schemas.microsoft.com/office/drawing/2014/main" id="{207170E0-D489-4E7F-A56F-1BCF1116C14D}"/>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7396779" y="332590"/>
          <a:ext cx="519057" cy="51905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ika Bhudhiraju" refreshedDate="45919.685884837963" createdVersion="8" refreshedVersion="8" minRefreshableVersion="3" recordCount="200" xr:uid="{0CC78DA7-A3E4-41C0-AF14-A3667EB9C93F}">
  <cacheSource type="worksheet">
    <worksheetSource name="Table1"/>
  </cacheSource>
  <cacheFields count="10">
    <cacheField name="EmployeeID" numFmtId="0">
      <sharedItems/>
    </cacheField>
    <cacheField name="Age" numFmtId="0">
      <sharedItems containsSemiMixedTypes="0" containsString="0" containsNumber="1" containsInteger="1" minValue="22" maxValue="59"/>
    </cacheField>
    <cacheField name="AgeGroup" numFmtId="0">
      <sharedItems count="4">
        <s v="50-59"/>
        <s v="30-39"/>
        <s v="20-29"/>
        <s v="40-49"/>
      </sharedItems>
    </cacheField>
    <cacheField name="Gender" numFmtId="0">
      <sharedItems count="2">
        <s v="Female"/>
        <s v="Male"/>
      </sharedItems>
    </cacheField>
    <cacheField name="Education" numFmtId="0">
      <sharedItems count="4">
        <s v="High School"/>
        <s v="Bachelors"/>
        <s v="Masters"/>
        <s v="PhD"/>
      </sharedItems>
    </cacheField>
    <cacheField name="Department" numFmtId="0">
      <sharedItems count="5">
        <s v="Finance"/>
        <s v="IT"/>
        <s v="Sales"/>
        <s v="HR"/>
        <s v="R&amp;D"/>
      </sharedItems>
    </cacheField>
    <cacheField name="JobRole" numFmtId="0">
      <sharedItems count="5">
        <s v="Technician"/>
        <s v="Executive"/>
        <s v="Analyst"/>
        <s v="Manager"/>
        <s v="Engineer"/>
      </sharedItems>
    </cacheField>
    <cacheField name="MaritalStatus" numFmtId="0">
      <sharedItems count="3">
        <s v="Single"/>
        <s v="Divorced"/>
        <s v="Married"/>
      </sharedItems>
    </cacheField>
    <cacheField name="Attrition" numFmtId="0">
      <sharedItems count="2">
        <s v="No"/>
        <s v="Yes"/>
      </sharedItems>
    </cacheField>
    <cacheField name="Salary" numFmtId="0">
      <sharedItems containsSemiMixedTypes="0" containsString="0" containsNumber="1" containsInteger="1" minValue="30526" maxValue="119186"/>
    </cacheField>
  </cacheFields>
  <extLst>
    <ext xmlns:x14="http://schemas.microsoft.com/office/spreadsheetml/2009/9/main" uri="{725AE2AE-9491-48be-B2B4-4EB974FC3084}">
      <x14:pivotCacheDefinition pivotCacheId="139086800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s v="EMP1000"/>
    <n v="50"/>
    <x v="0"/>
    <x v="0"/>
    <x v="0"/>
    <x v="0"/>
    <x v="0"/>
    <x v="0"/>
    <x v="0"/>
    <n v="55559"/>
  </r>
  <r>
    <s v="EMP1001"/>
    <n v="36"/>
    <x v="1"/>
    <x v="0"/>
    <x v="0"/>
    <x v="1"/>
    <x v="1"/>
    <x v="0"/>
    <x v="0"/>
    <n v="63742"/>
  </r>
  <r>
    <s v="EMP1002"/>
    <n v="29"/>
    <x v="2"/>
    <x v="1"/>
    <x v="1"/>
    <x v="1"/>
    <x v="1"/>
    <x v="1"/>
    <x v="0"/>
    <n v="99669"/>
  </r>
  <r>
    <s v="EMP1003"/>
    <n v="42"/>
    <x v="3"/>
    <x v="0"/>
    <x v="0"/>
    <x v="0"/>
    <x v="2"/>
    <x v="2"/>
    <x v="0"/>
    <n v="110199"/>
  </r>
  <r>
    <s v="EMP1004"/>
    <n v="40"/>
    <x v="3"/>
    <x v="0"/>
    <x v="2"/>
    <x v="2"/>
    <x v="2"/>
    <x v="0"/>
    <x v="0"/>
    <n v="51754"/>
  </r>
  <r>
    <s v="EMP1005"/>
    <n v="44"/>
    <x v="3"/>
    <x v="1"/>
    <x v="0"/>
    <x v="3"/>
    <x v="3"/>
    <x v="1"/>
    <x v="0"/>
    <n v="33972"/>
  </r>
  <r>
    <s v="EMP1006"/>
    <n v="32"/>
    <x v="1"/>
    <x v="1"/>
    <x v="1"/>
    <x v="2"/>
    <x v="0"/>
    <x v="2"/>
    <x v="0"/>
    <n v="100831"/>
  </r>
  <r>
    <s v="EMP1007"/>
    <n v="32"/>
    <x v="1"/>
    <x v="0"/>
    <x v="1"/>
    <x v="2"/>
    <x v="4"/>
    <x v="0"/>
    <x v="1"/>
    <n v="71873"/>
  </r>
  <r>
    <s v="EMP1008"/>
    <n v="45"/>
    <x v="3"/>
    <x v="1"/>
    <x v="2"/>
    <x v="2"/>
    <x v="1"/>
    <x v="2"/>
    <x v="0"/>
    <n v="39903"/>
  </r>
  <r>
    <s v="EMP1009"/>
    <n v="57"/>
    <x v="0"/>
    <x v="1"/>
    <x v="1"/>
    <x v="4"/>
    <x v="3"/>
    <x v="1"/>
    <x v="1"/>
    <n v="33020"/>
  </r>
  <r>
    <s v="EMP1010"/>
    <n v="45"/>
    <x v="3"/>
    <x v="0"/>
    <x v="0"/>
    <x v="1"/>
    <x v="3"/>
    <x v="0"/>
    <x v="0"/>
    <n v="71755"/>
  </r>
  <r>
    <s v="EMP1011"/>
    <n v="24"/>
    <x v="2"/>
    <x v="1"/>
    <x v="3"/>
    <x v="2"/>
    <x v="1"/>
    <x v="2"/>
    <x v="1"/>
    <n v="115956"/>
  </r>
  <r>
    <s v="EMP1012"/>
    <n v="43"/>
    <x v="3"/>
    <x v="1"/>
    <x v="2"/>
    <x v="1"/>
    <x v="4"/>
    <x v="0"/>
    <x v="0"/>
    <n v="116988"/>
  </r>
  <r>
    <s v="EMP1013"/>
    <n v="23"/>
    <x v="2"/>
    <x v="0"/>
    <x v="2"/>
    <x v="0"/>
    <x v="3"/>
    <x v="2"/>
    <x v="0"/>
    <n v="75648"/>
  </r>
  <r>
    <s v="EMP1014"/>
    <n v="45"/>
    <x v="3"/>
    <x v="0"/>
    <x v="1"/>
    <x v="3"/>
    <x v="3"/>
    <x v="1"/>
    <x v="0"/>
    <n v="39516"/>
  </r>
  <r>
    <s v="EMP1015"/>
    <n v="51"/>
    <x v="0"/>
    <x v="1"/>
    <x v="0"/>
    <x v="0"/>
    <x v="0"/>
    <x v="1"/>
    <x v="0"/>
    <n v="32396"/>
  </r>
  <r>
    <s v="EMP1016"/>
    <n v="59"/>
    <x v="0"/>
    <x v="1"/>
    <x v="1"/>
    <x v="0"/>
    <x v="4"/>
    <x v="0"/>
    <x v="0"/>
    <n v="114082"/>
  </r>
  <r>
    <s v="EMP1017"/>
    <n v="23"/>
    <x v="2"/>
    <x v="0"/>
    <x v="1"/>
    <x v="4"/>
    <x v="3"/>
    <x v="2"/>
    <x v="1"/>
    <n v="49129"/>
  </r>
  <r>
    <s v="EMP1018"/>
    <n v="42"/>
    <x v="3"/>
    <x v="0"/>
    <x v="1"/>
    <x v="3"/>
    <x v="4"/>
    <x v="0"/>
    <x v="1"/>
    <n v="31591"/>
  </r>
  <r>
    <s v="EMP1019"/>
    <n v="54"/>
    <x v="0"/>
    <x v="0"/>
    <x v="2"/>
    <x v="0"/>
    <x v="1"/>
    <x v="0"/>
    <x v="1"/>
    <n v="41303"/>
  </r>
  <r>
    <s v="EMP1020"/>
    <n v="33"/>
    <x v="1"/>
    <x v="0"/>
    <x v="1"/>
    <x v="0"/>
    <x v="2"/>
    <x v="2"/>
    <x v="0"/>
    <n v="60561"/>
  </r>
  <r>
    <s v="EMP1021"/>
    <n v="43"/>
    <x v="3"/>
    <x v="1"/>
    <x v="3"/>
    <x v="3"/>
    <x v="3"/>
    <x v="2"/>
    <x v="0"/>
    <n v="101719"/>
  </r>
  <r>
    <s v="EMP1022"/>
    <n v="46"/>
    <x v="3"/>
    <x v="0"/>
    <x v="1"/>
    <x v="3"/>
    <x v="0"/>
    <x v="2"/>
    <x v="0"/>
    <n v="116231"/>
  </r>
  <r>
    <s v="EMP1023"/>
    <n v="48"/>
    <x v="3"/>
    <x v="0"/>
    <x v="2"/>
    <x v="0"/>
    <x v="1"/>
    <x v="1"/>
    <x v="0"/>
    <n v="37314"/>
  </r>
  <r>
    <s v="EMP1024"/>
    <n v="49"/>
    <x v="3"/>
    <x v="1"/>
    <x v="0"/>
    <x v="3"/>
    <x v="4"/>
    <x v="0"/>
    <x v="0"/>
    <n v="49623"/>
  </r>
  <r>
    <s v="EMP1025"/>
    <n v="37"/>
    <x v="1"/>
    <x v="0"/>
    <x v="1"/>
    <x v="0"/>
    <x v="1"/>
    <x v="0"/>
    <x v="1"/>
    <n v="97675"/>
  </r>
  <r>
    <s v="EMP1026"/>
    <n v="36"/>
    <x v="1"/>
    <x v="1"/>
    <x v="2"/>
    <x v="0"/>
    <x v="3"/>
    <x v="1"/>
    <x v="0"/>
    <n v="95082"/>
  </r>
  <r>
    <s v="EMP1027"/>
    <n v="24"/>
    <x v="2"/>
    <x v="0"/>
    <x v="0"/>
    <x v="4"/>
    <x v="4"/>
    <x v="2"/>
    <x v="0"/>
    <n v="113624"/>
  </r>
  <r>
    <s v="EMP1028"/>
    <n v="58"/>
    <x v="0"/>
    <x v="0"/>
    <x v="0"/>
    <x v="2"/>
    <x v="2"/>
    <x v="1"/>
    <x v="0"/>
    <n v="63130"/>
  </r>
  <r>
    <s v="EMP1029"/>
    <n v="28"/>
    <x v="2"/>
    <x v="0"/>
    <x v="3"/>
    <x v="0"/>
    <x v="1"/>
    <x v="1"/>
    <x v="0"/>
    <n v="81756"/>
  </r>
  <r>
    <s v="EMP1030"/>
    <n v="42"/>
    <x v="3"/>
    <x v="1"/>
    <x v="2"/>
    <x v="1"/>
    <x v="3"/>
    <x v="1"/>
    <x v="1"/>
    <n v="56292"/>
  </r>
  <r>
    <s v="EMP1031"/>
    <n v="30"/>
    <x v="1"/>
    <x v="1"/>
    <x v="0"/>
    <x v="2"/>
    <x v="0"/>
    <x v="0"/>
    <x v="1"/>
    <n v="116206"/>
  </r>
  <r>
    <s v="EMP1032"/>
    <n v="39"/>
    <x v="1"/>
    <x v="0"/>
    <x v="1"/>
    <x v="2"/>
    <x v="4"/>
    <x v="1"/>
    <x v="0"/>
    <n v="99274"/>
  </r>
  <r>
    <s v="EMP1033"/>
    <n v="25"/>
    <x v="2"/>
    <x v="1"/>
    <x v="1"/>
    <x v="2"/>
    <x v="1"/>
    <x v="0"/>
    <x v="1"/>
    <n v="32469"/>
  </r>
  <r>
    <s v="EMP1034"/>
    <n v="46"/>
    <x v="3"/>
    <x v="1"/>
    <x v="2"/>
    <x v="4"/>
    <x v="1"/>
    <x v="0"/>
    <x v="0"/>
    <n v="83947"/>
  </r>
  <r>
    <s v="EMP1035"/>
    <n v="35"/>
    <x v="1"/>
    <x v="1"/>
    <x v="1"/>
    <x v="0"/>
    <x v="2"/>
    <x v="0"/>
    <x v="1"/>
    <n v="52534"/>
  </r>
  <r>
    <s v="EMP1036"/>
    <n v="30"/>
    <x v="1"/>
    <x v="1"/>
    <x v="0"/>
    <x v="4"/>
    <x v="2"/>
    <x v="2"/>
    <x v="0"/>
    <n v="93620"/>
  </r>
  <r>
    <s v="EMP1037"/>
    <n v="47"/>
    <x v="3"/>
    <x v="1"/>
    <x v="0"/>
    <x v="0"/>
    <x v="0"/>
    <x v="0"/>
    <x v="0"/>
    <n v="78874"/>
  </r>
  <r>
    <s v="EMP1038"/>
    <n v="23"/>
    <x v="2"/>
    <x v="1"/>
    <x v="1"/>
    <x v="4"/>
    <x v="0"/>
    <x v="0"/>
    <x v="0"/>
    <n v="79708"/>
  </r>
  <r>
    <s v="EMP1039"/>
    <n v="41"/>
    <x v="3"/>
    <x v="0"/>
    <x v="2"/>
    <x v="4"/>
    <x v="3"/>
    <x v="2"/>
    <x v="0"/>
    <n v="104553"/>
  </r>
  <r>
    <s v="EMP1040"/>
    <n v="49"/>
    <x v="3"/>
    <x v="0"/>
    <x v="0"/>
    <x v="1"/>
    <x v="3"/>
    <x v="0"/>
    <x v="0"/>
    <n v="98344"/>
  </r>
  <r>
    <s v="EMP1041"/>
    <n v="28"/>
    <x v="2"/>
    <x v="1"/>
    <x v="3"/>
    <x v="4"/>
    <x v="0"/>
    <x v="1"/>
    <x v="0"/>
    <n v="79138"/>
  </r>
  <r>
    <s v="EMP1042"/>
    <n v="29"/>
    <x v="2"/>
    <x v="0"/>
    <x v="1"/>
    <x v="3"/>
    <x v="0"/>
    <x v="1"/>
    <x v="0"/>
    <n v="84302"/>
  </r>
  <r>
    <s v="EMP1043"/>
    <n v="56"/>
    <x v="0"/>
    <x v="0"/>
    <x v="1"/>
    <x v="1"/>
    <x v="4"/>
    <x v="0"/>
    <x v="0"/>
    <n v="77638"/>
  </r>
  <r>
    <s v="EMP1044"/>
    <n v="35"/>
    <x v="1"/>
    <x v="0"/>
    <x v="0"/>
    <x v="4"/>
    <x v="2"/>
    <x v="2"/>
    <x v="0"/>
    <n v="108249"/>
  </r>
  <r>
    <s v="EMP1045"/>
    <n v="38"/>
    <x v="1"/>
    <x v="0"/>
    <x v="0"/>
    <x v="2"/>
    <x v="3"/>
    <x v="1"/>
    <x v="0"/>
    <n v="32719"/>
  </r>
  <r>
    <s v="EMP1046"/>
    <n v="57"/>
    <x v="0"/>
    <x v="1"/>
    <x v="3"/>
    <x v="3"/>
    <x v="2"/>
    <x v="2"/>
    <x v="1"/>
    <n v="52890"/>
  </r>
  <r>
    <s v="EMP1047"/>
    <n v="25"/>
    <x v="2"/>
    <x v="0"/>
    <x v="2"/>
    <x v="3"/>
    <x v="2"/>
    <x v="2"/>
    <x v="1"/>
    <n v="107236"/>
  </r>
  <r>
    <s v="EMP1048"/>
    <n v="23"/>
    <x v="2"/>
    <x v="0"/>
    <x v="1"/>
    <x v="3"/>
    <x v="0"/>
    <x v="1"/>
    <x v="0"/>
    <n v="66509"/>
  </r>
  <r>
    <s v="EMP1049"/>
    <n v="27"/>
    <x v="2"/>
    <x v="1"/>
    <x v="2"/>
    <x v="1"/>
    <x v="4"/>
    <x v="2"/>
    <x v="0"/>
    <n v="72534"/>
  </r>
  <r>
    <s v="EMP1050"/>
    <n v="25"/>
    <x v="2"/>
    <x v="1"/>
    <x v="1"/>
    <x v="4"/>
    <x v="1"/>
    <x v="1"/>
    <x v="1"/>
    <n v="48787"/>
  </r>
  <r>
    <s v="EMP1051"/>
    <n v="50"/>
    <x v="0"/>
    <x v="0"/>
    <x v="2"/>
    <x v="4"/>
    <x v="4"/>
    <x v="2"/>
    <x v="0"/>
    <n v="78845"/>
  </r>
  <r>
    <s v="EMP1052"/>
    <n v="39"/>
    <x v="1"/>
    <x v="0"/>
    <x v="0"/>
    <x v="2"/>
    <x v="4"/>
    <x v="1"/>
    <x v="0"/>
    <n v="87932"/>
  </r>
  <r>
    <s v="EMP1053"/>
    <n v="47"/>
    <x v="3"/>
    <x v="0"/>
    <x v="1"/>
    <x v="2"/>
    <x v="2"/>
    <x v="0"/>
    <x v="0"/>
    <n v="63062"/>
  </r>
  <r>
    <s v="EMP1054"/>
    <n v="55"/>
    <x v="0"/>
    <x v="0"/>
    <x v="0"/>
    <x v="3"/>
    <x v="4"/>
    <x v="1"/>
    <x v="0"/>
    <n v="105713"/>
  </r>
  <r>
    <s v="EMP1055"/>
    <n v="31"/>
    <x v="1"/>
    <x v="0"/>
    <x v="0"/>
    <x v="2"/>
    <x v="3"/>
    <x v="1"/>
    <x v="1"/>
    <n v="117263"/>
  </r>
  <r>
    <s v="EMP1056"/>
    <n v="57"/>
    <x v="0"/>
    <x v="0"/>
    <x v="1"/>
    <x v="1"/>
    <x v="2"/>
    <x v="1"/>
    <x v="1"/>
    <n v="90461"/>
  </r>
  <r>
    <s v="EMP1057"/>
    <n v="35"/>
    <x v="1"/>
    <x v="1"/>
    <x v="0"/>
    <x v="4"/>
    <x v="3"/>
    <x v="1"/>
    <x v="0"/>
    <n v="105418"/>
  </r>
  <r>
    <s v="EMP1058"/>
    <n v="52"/>
    <x v="0"/>
    <x v="0"/>
    <x v="0"/>
    <x v="3"/>
    <x v="1"/>
    <x v="2"/>
    <x v="0"/>
    <n v="96672"/>
  </r>
  <r>
    <s v="EMP1059"/>
    <n v="36"/>
    <x v="1"/>
    <x v="0"/>
    <x v="1"/>
    <x v="2"/>
    <x v="2"/>
    <x v="0"/>
    <x v="0"/>
    <n v="64832"/>
  </r>
  <r>
    <s v="EMP1060"/>
    <n v="29"/>
    <x v="2"/>
    <x v="1"/>
    <x v="3"/>
    <x v="1"/>
    <x v="1"/>
    <x v="1"/>
    <x v="0"/>
    <n v="61966"/>
  </r>
  <r>
    <s v="EMP1061"/>
    <n v="35"/>
    <x v="1"/>
    <x v="1"/>
    <x v="0"/>
    <x v="1"/>
    <x v="2"/>
    <x v="2"/>
    <x v="1"/>
    <n v="102545"/>
  </r>
  <r>
    <s v="EMP1062"/>
    <n v="44"/>
    <x v="3"/>
    <x v="1"/>
    <x v="0"/>
    <x v="2"/>
    <x v="0"/>
    <x v="0"/>
    <x v="0"/>
    <n v="42987"/>
  </r>
  <r>
    <s v="EMP1063"/>
    <n v="42"/>
    <x v="3"/>
    <x v="1"/>
    <x v="2"/>
    <x v="4"/>
    <x v="4"/>
    <x v="0"/>
    <x v="0"/>
    <n v="67311"/>
  </r>
  <r>
    <s v="EMP1064"/>
    <n v="37"/>
    <x v="1"/>
    <x v="0"/>
    <x v="2"/>
    <x v="2"/>
    <x v="0"/>
    <x v="0"/>
    <x v="0"/>
    <n v="61575"/>
  </r>
  <r>
    <s v="EMP1065"/>
    <n v="39"/>
    <x v="1"/>
    <x v="0"/>
    <x v="1"/>
    <x v="3"/>
    <x v="1"/>
    <x v="0"/>
    <x v="0"/>
    <n v="93852"/>
  </r>
  <r>
    <s v="EMP1066"/>
    <n v="45"/>
    <x v="3"/>
    <x v="0"/>
    <x v="1"/>
    <x v="2"/>
    <x v="4"/>
    <x v="1"/>
    <x v="0"/>
    <n v="31007"/>
  </r>
  <r>
    <s v="EMP1067"/>
    <n v="47"/>
    <x v="3"/>
    <x v="0"/>
    <x v="2"/>
    <x v="1"/>
    <x v="2"/>
    <x v="1"/>
    <x v="0"/>
    <n v="100981"/>
  </r>
  <r>
    <s v="EMP1068"/>
    <n v="46"/>
    <x v="3"/>
    <x v="0"/>
    <x v="0"/>
    <x v="2"/>
    <x v="4"/>
    <x v="2"/>
    <x v="1"/>
    <n v="106242"/>
  </r>
  <r>
    <s v="EMP1069"/>
    <n v="50"/>
    <x v="0"/>
    <x v="0"/>
    <x v="3"/>
    <x v="4"/>
    <x v="3"/>
    <x v="2"/>
    <x v="0"/>
    <n v="77517"/>
  </r>
  <r>
    <s v="EMP1070"/>
    <n v="36"/>
    <x v="1"/>
    <x v="1"/>
    <x v="2"/>
    <x v="0"/>
    <x v="4"/>
    <x v="2"/>
    <x v="1"/>
    <n v="59257"/>
  </r>
  <r>
    <s v="EMP1071"/>
    <n v="22"/>
    <x v="2"/>
    <x v="0"/>
    <x v="1"/>
    <x v="2"/>
    <x v="3"/>
    <x v="0"/>
    <x v="0"/>
    <n v="117272"/>
  </r>
  <r>
    <s v="EMP1072"/>
    <n v="46"/>
    <x v="3"/>
    <x v="1"/>
    <x v="0"/>
    <x v="4"/>
    <x v="4"/>
    <x v="0"/>
    <x v="0"/>
    <n v="72207"/>
  </r>
  <r>
    <s v="EMP1073"/>
    <n v="28"/>
    <x v="2"/>
    <x v="1"/>
    <x v="3"/>
    <x v="4"/>
    <x v="3"/>
    <x v="1"/>
    <x v="1"/>
    <n v="43281"/>
  </r>
  <r>
    <s v="EMP1074"/>
    <n v="30"/>
    <x v="1"/>
    <x v="0"/>
    <x v="1"/>
    <x v="1"/>
    <x v="1"/>
    <x v="0"/>
    <x v="0"/>
    <n v="91246"/>
  </r>
  <r>
    <s v="EMP1075"/>
    <n v="45"/>
    <x v="3"/>
    <x v="1"/>
    <x v="1"/>
    <x v="4"/>
    <x v="0"/>
    <x v="0"/>
    <x v="0"/>
    <n v="31435"/>
  </r>
  <r>
    <s v="EMP1076"/>
    <n v="22"/>
    <x v="2"/>
    <x v="0"/>
    <x v="2"/>
    <x v="4"/>
    <x v="2"/>
    <x v="0"/>
    <x v="0"/>
    <n v="56660"/>
  </r>
  <r>
    <s v="EMP1077"/>
    <n v="29"/>
    <x v="2"/>
    <x v="1"/>
    <x v="2"/>
    <x v="4"/>
    <x v="4"/>
    <x v="2"/>
    <x v="0"/>
    <n v="35084"/>
  </r>
  <r>
    <s v="EMP1078"/>
    <n v="45"/>
    <x v="3"/>
    <x v="0"/>
    <x v="3"/>
    <x v="4"/>
    <x v="0"/>
    <x v="2"/>
    <x v="0"/>
    <n v="112197"/>
  </r>
  <r>
    <s v="EMP1079"/>
    <n v="32"/>
    <x v="1"/>
    <x v="1"/>
    <x v="3"/>
    <x v="3"/>
    <x v="2"/>
    <x v="1"/>
    <x v="0"/>
    <n v="43507"/>
  </r>
  <r>
    <s v="EMP1080"/>
    <n v="38"/>
    <x v="1"/>
    <x v="0"/>
    <x v="2"/>
    <x v="3"/>
    <x v="2"/>
    <x v="0"/>
    <x v="0"/>
    <n v="102595"/>
  </r>
  <r>
    <s v="EMP1081"/>
    <n v="29"/>
    <x v="2"/>
    <x v="0"/>
    <x v="2"/>
    <x v="1"/>
    <x v="3"/>
    <x v="0"/>
    <x v="1"/>
    <n v="113807"/>
  </r>
  <r>
    <s v="EMP1082"/>
    <n v="56"/>
    <x v="0"/>
    <x v="0"/>
    <x v="2"/>
    <x v="2"/>
    <x v="1"/>
    <x v="1"/>
    <x v="0"/>
    <n v="75539"/>
  </r>
  <r>
    <s v="EMP1083"/>
    <n v="56"/>
    <x v="0"/>
    <x v="0"/>
    <x v="2"/>
    <x v="4"/>
    <x v="1"/>
    <x v="0"/>
    <x v="1"/>
    <n v="37491"/>
  </r>
  <r>
    <s v="EMP1084"/>
    <n v="54"/>
    <x v="0"/>
    <x v="0"/>
    <x v="1"/>
    <x v="2"/>
    <x v="0"/>
    <x v="0"/>
    <x v="0"/>
    <n v="80192"/>
  </r>
  <r>
    <s v="EMP1085"/>
    <n v="26"/>
    <x v="2"/>
    <x v="1"/>
    <x v="0"/>
    <x v="2"/>
    <x v="1"/>
    <x v="2"/>
    <x v="0"/>
    <n v="110395"/>
  </r>
  <r>
    <s v="EMP1086"/>
    <n v="49"/>
    <x v="3"/>
    <x v="1"/>
    <x v="2"/>
    <x v="1"/>
    <x v="4"/>
    <x v="1"/>
    <x v="1"/>
    <n v="93888"/>
  </r>
  <r>
    <s v="EMP1087"/>
    <n v="28"/>
    <x v="2"/>
    <x v="1"/>
    <x v="2"/>
    <x v="4"/>
    <x v="1"/>
    <x v="1"/>
    <x v="0"/>
    <n v="103609"/>
  </r>
  <r>
    <s v="EMP1088"/>
    <n v="30"/>
    <x v="1"/>
    <x v="0"/>
    <x v="2"/>
    <x v="4"/>
    <x v="0"/>
    <x v="1"/>
    <x v="0"/>
    <n v="39077"/>
  </r>
  <r>
    <s v="EMP1089"/>
    <n v="29"/>
    <x v="2"/>
    <x v="1"/>
    <x v="2"/>
    <x v="0"/>
    <x v="1"/>
    <x v="1"/>
    <x v="1"/>
    <n v="50953"/>
  </r>
  <r>
    <s v="EMP1090"/>
    <n v="33"/>
    <x v="1"/>
    <x v="0"/>
    <x v="2"/>
    <x v="2"/>
    <x v="4"/>
    <x v="2"/>
    <x v="0"/>
    <n v="106919"/>
  </r>
  <r>
    <s v="EMP1091"/>
    <n v="55"/>
    <x v="0"/>
    <x v="0"/>
    <x v="1"/>
    <x v="2"/>
    <x v="3"/>
    <x v="2"/>
    <x v="0"/>
    <n v="97889"/>
  </r>
  <r>
    <s v="EMP1092"/>
    <n v="54"/>
    <x v="0"/>
    <x v="1"/>
    <x v="1"/>
    <x v="3"/>
    <x v="0"/>
    <x v="0"/>
    <x v="1"/>
    <n v="53821"/>
  </r>
  <r>
    <s v="EMP1093"/>
    <n v="44"/>
    <x v="3"/>
    <x v="1"/>
    <x v="1"/>
    <x v="0"/>
    <x v="3"/>
    <x v="0"/>
    <x v="0"/>
    <n v="67567"/>
  </r>
  <r>
    <s v="EMP1094"/>
    <n v="45"/>
    <x v="3"/>
    <x v="0"/>
    <x v="1"/>
    <x v="3"/>
    <x v="3"/>
    <x v="0"/>
    <x v="0"/>
    <n v="54860"/>
  </r>
  <r>
    <s v="EMP1095"/>
    <n v="58"/>
    <x v="0"/>
    <x v="1"/>
    <x v="0"/>
    <x v="3"/>
    <x v="3"/>
    <x v="0"/>
    <x v="0"/>
    <n v="51195"/>
  </r>
  <r>
    <s v="EMP1096"/>
    <n v="56"/>
    <x v="0"/>
    <x v="0"/>
    <x v="2"/>
    <x v="3"/>
    <x v="2"/>
    <x v="2"/>
    <x v="0"/>
    <n v="107475"/>
  </r>
  <r>
    <s v="EMP1097"/>
    <n v="43"/>
    <x v="3"/>
    <x v="0"/>
    <x v="1"/>
    <x v="1"/>
    <x v="2"/>
    <x v="1"/>
    <x v="0"/>
    <n v="117266"/>
  </r>
  <r>
    <s v="EMP1098"/>
    <n v="48"/>
    <x v="3"/>
    <x v="0"/>
    <x v="2"/>
    <x v="1"/>
    <x v="3"/>
    <x v="2"/>
    <x v="0"/>
    <n v="51427"/>
  </r>
  <r>
    <s v="EMP1099"/>
    <n v="56"/>
    <x v="0"/>
    <x v="0"/>
    <x v="1"/>
    <x v="3"/>
    <x v="0"/>
    <x v="0"/>
    <x v="0"/>
    <n v="57083"/>
  </r>
  <r>
    <s v="EMP1100"/>
    <n v="22"/>
    <x v="2"/>
    <x v="0"/>
    <x v="2"/>
    <x v="0"/>
    <x v="4"/>
    <x v="2"/>
    <x v="0"/>
    <n v="117046"/>
  </r>
  <r>
    <s v="EMP1101"/>
    <n v="56"/>
    <x v="0"/>
    <x v="1"/>
    <x v="1"/>
    <x v="2"/>
    <x v="4"/>
    <x v="1"/>
    <x v="0"/>
    <n v="87372"/>
  </r>
  <r>
    <s v="EMP1102"/>
    <n v="58"/>
    <x v="0"/>
    <x v="1"/>
    <x v="1"/>
    <x v="0"/>
    <x v="1"/>
    <x v="1"/>
    <x v="0"/>
    <n v="74064"/>
  </r>
  <r>
    <s v="EMP1103"/>
    <n v="35"/>
    <x v="1"/>
    <x v="0"/>
    <x v="1"/>
    <x v="4"/>
    <x v="0"/>
    <x v="2"/>
    <x v="1"/>
    <n v="37813"/>
  </r>
  <r>
    <s v="EMP1104"/>
    <n v="24"/>
    <x v="2"/>
    <x v="0"/>
    <x v="2"/>
    <x v="1"/>
    <x v="2"/>
    <x v="2"/>
    <x v="0"/>
    <n v="61598"/>
  </r>
  <r>
    <s v="EMP1105"/>
    <n v="22"/>
    <x v="2"/>
    <x v="1"/>
    <x v="1"/>
    <x v="2"/>
    <x v="3"/>
    <x v="2"/>
    <x v="1"/>
    <n v="57082"/>
  </r>
  <r>
    <s v="EMP1106"/>
    <n v="26"/>
    <x v="2"/>
    <x v="1"/>
    <x v="3"/>
    <x v="2"/>
    <x v="1"/>
    <x v="0"/>
    <x v="1"/>
    <n v="59241"/>
  </r>
  <r>
    <s v="EMP1107"/>
    <n v="47"/>
    <x v="3"/>
    <x v="0"/>
    <x v="0"/>
    <x v="4"/>
    <x v="4"/>
    <x v="2"/>
    <x v="1"/>
    <n v="74569"/>
  </r>
  <r>
    <s v="EMP1108"/>
    <n v="35"/>
    <x v="1"/>
    <x v="1"/>
    <x v="1"/>
    <x v="4"/>
    <x v="2"/>
    <x v="2"/>
    <x v="0"/>
    <n v="41745"/>
  </r>
  <r>
    <s v="EMP1109"/>
    <n v="48"/>
    <x v="3"/>
    <x v="0"/>
    <x v="3"/>
    <x v="3"/>
    <x v="2"/>
    <x v="2"/>
    <x v="0"/>
    <n v="56029"/>
  </r>
  <r>
    <s v="EMP1110"/>
    <n v="30"/>
    <x v="1"/>
    <x v="1"/>
    <x v="1"/>
    <x v="1"/>
    <x v="3"/>
    <x v="1"/>
    <x v="0"/>
    <n v="43025"/>
  </r>
  <r>
    <s v="EMP1111"/>
    <n v="36"/>
    <x v="1"/>
    <x v="0"/>
    <x v="1"/>
    <x v="1"/>
    <x v="4"/>
    <x v="1"/>
    <x v="1"/>
    <n v="44288"/>
  </r>
  <r>
    <s v="EMP1112"/>
    <n v="36"/>
    <x v="1"/>
    <x v="1"/>
    <x v="1"/>
    <x v="0"/>
    <x v="0"/>
    <x v="0"/>
    <x v="0"/>
    <n v="119186"/>
  </r>
  <r>
    <s v="EMP1113"/>
    <n v="47"/>
    <x v="3"/>
    <x v="0"/>
    <x v="1"/>
    <x v="3"/>
    <x v="2"/>
    <x v="0"/>
    <x v="0"/>
    <n v="36540"/>
  </r>
  <r>
    <s v="EMP1114"/>
    <n v="34"/>
    <x v="1"/>
    <x v="1"/>
    <x v="2"/>
    <x v="3"/>
    <x v="3"/>
    <x v="1"/>
    <x v="0"/>
    <n v="111958"/>
  </r>
  <r>
    <s v="EMP1115"/>
    <n v="53"/>
    <x v="0"/>
    <x v="1"/>
    <x v="0"/>
    <x v="3"/>
    <x v="0"/>
    <x v="1"/>
    <x v="0"/>
    <n v="98878"/>
  </r>
  <r>
    <s v="EMP1116"/>
    <n v="53"/>
    <x v="0"/>
    <x v="0"/>
    <x v="1"/>
    <x v="3"/>
    <x v="4"/>
    <x v="1"/>
    <x v="0"/>
    <n v="71846"/>
  </r>
  <r>
    <s v="EMP1117"/>
    <n v="25"/>
    <x v="2"/>
    <x v="1"/>
    <x v="1"/>
    <x v="1"/>
    <x v="2"/>
    <x v="2"/>
    <x v="0"/>
    <n v="105932"/>
  </r>
  <r>
    <s v="EMP1118"/>
    <n v="51"/>
    <x v="0"/>
    <x v="0"/>
    <x v="2"/>
    <x v="1"/>
    <x v="0"/>
    <x v="2"/>
    <x v="0"/>
    <n v="47482"/>
  </r>
  <r>
    <s v="EMP1119"/>
    <n v="58"/>
    <x v="0"/>
    <x v="1"/>
    <x v="1"/>
    <x v="3"/>
    <x v="0"/>
    <x v="1"/>
    <x v="1"/>
    <n v="53411"/>
  </r>
  <r>
    <s v="EMP1120"/>
    <n v="44"/>
    <x v="3"/>
    <x v="0"/>
    <x v="1"/>
    <x v="0"/>
    <x v="0"/>
    <x v="2"/>
    <x v="1"/>
    <n v="80975"/>
  </r>
  <r>
    <s v="EMP1121"/>
    <n v="36"/>
    <x v="1"/>
    <x v="1"/>
    <x v="2"/>
    <x v="2"/>
    <x v="2"/>
    <x v="2"/>
    <x v="0"/>
    <n v="90545"/>
  </r>
  <r>
    <s v="EMP1122"/>
    <n v="50"/>
    <x v="0"/>
    <x v="0"/>
    <x v="2"/>
    <x v="2"/>
    <x v="2"/>
    <x v="0"/>
    <x v="1"/>
    <n v="108797"/>
  </r>
  <r>
    <s v="EMP1123"/>
    <n v="57"/>
    <x v="0"/>
    <x v="1"/>
    <x v="1"/>
    <x v="0"/>
    <x v="1"/>
    <x v="1"/>
    <x v="0"/>
    <n v="82307"/>
  </r>
  <r>
    <s v="EMP1124"/>
    <n v="34"/>
    <x v="1"/>
    <x v="0"/>
    <x v="1"/>
    <x v="3"/>
    <x v="4"/>
    <x v="1"/>
    <x v="0"/>
    <n v="33093"/>
  </r>
  <r>
    <s v="EMP1125"/>
    <n v="53"/>
    <x v="0"/>
    <x v="1"/>
    <x v="1"/>
    <x v="1"/>
    <x v="3"/>
    <x v="2"/>
    <x v="0"/>
    <n v="107258"/>
  </r>
  <r>
    <s v="EMP1126"/>
    <n v="28"/>
    <x v="2"/>
    <x v="0"/>
    <x v="1"/>
    <x v="2"/>
    <x v="0"/>
    <x v="1"/>
    <x v="0"/>
    <n v="52042"/>
  </r>
  <r>
    <s v="EMP1127"/>
    <n v="43"/>
    <x v="3"/>
    <x v="0"/>
    <x v="1"/>
    <x v="4"/>
    <x v="1"/>
    <x v="0"/>
    <x v="0"/>
    <n v="82930"/>
  </r>
  <r>
    <s v="EMP1128"/>
    <n v="49"/>
    <x v="3"/>
    <x v="0"/>
    <x v="1"/>
    <x v="4"/>
    <x v="3"/>
    <x v="0"/>
    <x v="0"/>
    <n v="74413"/>
  </r>
  <r>
    <s v="EMP1129"/>
    <n v="23"/>
    <x v="2"/>
    <x v="1"/>
    <x v="0"/>
    <x v="0"/>
    <x v="1"/>
    <x v="0"/>
    <x v="0"/>
    <n v="63756"/>
  </r>
  <r>
    <s v="EMP1130"/>
    <n v="27"/>
    <x v="2"/>
    <x v="0"/>
    <x v="0"/>
    <x v="3"/>
    <x v="2"/>
    <x v="1"/>
    <x v="0"/>
    <n v="83268"/>
  </r>
  <r>
    <s v="EMP1131"/>
    <n v="49"/>
    <x v="3"/>
    <x v="1"/>
    <x v="3"/>
    <x v="2"/>
    <x v="0"/>
    <x v="1"/>
    <x v="0"/>
    <n v="69214"/>
  </r>
  <r>
    <s v="EMP1132"/>
    <n v="49"/>
    <x v="3"/>
    <x v="0"/>
    <x v="2"/>
    <x v="3"/>
    <x v="3"/>
    <x v="1"/>
    <x v="0"/>
    <n v="111871"/>
  </r>
  <r>
    <s v="EMP1133"/>
    <n v="41"/>
    <x v="3"/>
    <x v="1"/>
    <x v="1"/>
    <x v="2"/>
    <x v="3"/>
    <x v="1"/>
    <x v="0"/>
    <n v="58602"/>
  </r>
  <r>
    <s v="EMP1134"/>
    <n v="51"/>
    <x v="0"/>
    <x v="0"/>
    <x v="3"/>
    <x v="0"/>
    <x v="3"/>
    <x v="1"/>
    <x v="0"/>
    <n v="83331"/>
  </r>
  <r>
    <s v="EMP1135"/>
    <n v="32"/>
    <x v="1"/>
    <x v="1"/>
    <x v="2"/>
    <x v="0"/>
    <x v="3"/>
    <x v="0"/>
    <x v="0"/>
    <n v="78901"/>
  </r>
  <r>
    <s v="EMP1136"/>
    <n v="49"/>
    <x v="3"/>
    <x v="1"/>
    <x v="1"/>
    <x v="4"/>
    <x v="3"/>
    <x v="2"/>
    <x v="0"/>
    <n v="93416"/>
  </r>
  <r>
    <s v="EMP1137"/>
    <n v="46"/>
    <x v="3"/>
    <x v="0"/>
    <x v="1"/>
    <x v="3"/>
    <x v="1"/>
    <x v="0"/>
    <x v="0"/>
    <n v="62196"/>
  </r>
  <r>
    <s v="EMP1138"/>
    <n v="54"/>
    <x v="0"/>
    <x v="1"/>
    <x v="0"/>
    <x v="4"/>
    <x v="0"/>
    <x v="1"/>
    <x v="0"/>
    <n v="35626"/>
  </r>
  <r>
    <s v="EMP1139"/>
    <n v="22"/>
    <x v="2"/>
    <x v="1"/>
    <x v="0"/>
    <x v="3"/>
    <x v="2"/>
    <x v="0"/>
    <x v="1"/>
    <n v="37424"/>
  </r>
  <r>
    <s v="EMP1140"/>
    <n v="48"/>
    <x v="3"/>
    <x v="0"/>
    <x v="2"/>
    <x v="4"/>
    <x v="2"/>
    <x v="1"/>
    <x v="1"/>
    <n v="42857"/>
  </r>
  <r>
    <s v="EMP1141"/>
    <n v="34"/>
    <x v="1"/>
    <x v="1"/>
    <x v="1"/>
    <x v="1"/>
    <x v="2"/>
    <x v="1"/>
    <x v="0"/>
    <n v="49982"/>
  </r>
  <r>
    <s v="EMP1142"/>
    <n v="24"/>
    <x v="2"/>
    <x v="1"/>
    <x v="1"/>
    <x v="1"/>
    <x v="2"/>
    <x v="0"/>
    <x v="0"/>
    <n v="106961"/>
  </r>
  <r>
    <s v="EMP1143"/>
    <n v="27"/>
    <x v="2"/>
    <x v="1"/>
    <x v="3"/>
    <x v="1"/>
    <x v="1"/>
    <x v="1"/>
    <x v="0"/>
    <n v="31980"/>
  </r>
  <r>
    <s v="EMP1144"/>
    <n v="29"/>
    <x v="2"/>
    <x v="0"/>
    <x v="2"/>
    <x v="1"/>
    <x v="4"/>
    <x v="2"/>
    <x v="1"/>
    <n v="78290"/>
  </r>
  <r>
    <s v="EMP1145"/>
    <n v="48"/>
    <x v="3"/>
    <x v="1"/>
    <x v="0"/>
    <x v="2"/>
    <x v="0"/>
    <x v="1"/>
    <x v="1"/>
    <n v="56431"/>
  </r>
  <r>
    <s v="EMP1146"/>
    <n v="30"/>
    <x v="1"/>
    <x v="0"/>
    <x v="3"/>
    <x v="1"/>
    <x v="3"/>
    <x v="2"/>
    <x v="1"/>
    <n v="114976"/>
  </r>
  <r>
    <s v="EMP1147"/>
    <n v="58"/>
    <x v="0"/>
    <x v="1"/>
    <x v="3"/>
    <x v="0"/>
    <x v="4"/>
    <x v="2"/>
    <x v="0"/>
    <n v="112711"/>
  </r>
  <r>
    <s v="EMP1148"/>
    <n v="54"/>
    <x v="0"/>
    <x v="1"/>
    <x v="3"/>
    <x v="0"/>
    <x v="2"/>
    <x v="1"/>
    <x v="0"/>
    <n v="56385"/>
  </r>
  <r>
    <s v="EMP1149"/>
    <n v="45"/>
    <x v="3"/>
    <x v="1"/>
    <x v="0"/>
    <x v="2"/>
    <x v="4"/>
    <x v="0"/>
    <x v="0"/>
    <n v="68158"/>
  </r>
  <r>
    <s v="EMP1150"/>
    <n v="36"/>
    <x v="1"/>
    <x v="0"/>
    <x v="2"/>
    <x v="1"/>
    <x v="0"/>
    <x v="2"/>
    <x v="0"/>
    <n v="53019"/>
  </r>
  <r>
    <s v="EMP1151"/>
    <n v="53"/>
    <x v="0"/>
    <x v="1"/>
    <x v="1"/>
    <x v="1"/>
    <x v="3"/>
    <x v="0"/>
    <x v="1"/>
    <n v="48639"/>
  </r>
  <r>
    <s v="EMP1152"/>
    <n v="53"/>
    <x v="0"/>
    <x v="1"/>
    <x v="2"/>
    <x v="1"/>
    <x v="3"/>
    <x v="2"/>
    <x v="0"/>
    <n v="115530"/>
  </r>
  <r>
    <s v="EMP1153"/>
    <n v="45"/>
    <x v="3"/>
    <x v="0"/>
    <x v="3"/>
    <x v="4"/>
    <x v="0"/>
    <x v="1"/>
    <x v="0"/>
    <n v="51563"/>
  </r>
  <r>
    <s v="EMP1154"/>
    <n v="33"/>
    <x v="1"/>
    <x v="1"/>
    <x v="2"/>
    <x v="3"/>
    <x v="0"/>
    <x v="1"/>
    <x v="1"/>
    <n v="69341"/>
  </r>
  <r>
    <s v="EMP1155"/>
    <n v="23"/>
    <x v="2"/>
    <x v="0"/>
    <x v="2"/>
    <x v="4"/>
    <x v="2"/>
    <x v="2"/>
    <x v="0"/>
    <n v="35776"/>
  </r>
  <r>
    <s v="EMP1156"/>
    <n v="24"/>
    <x v="2"/>
    <x v="0"/>
    <x v="2"/>
    <x v="3"/>
    <x v="3"/>
    <x v="1"/>
    <x v="0"/>
    <n v="66444"/>
  </r>
  <r>
    <s v="EMP1157"/>
    <n v="58"/>
    <x v="0"/>
    <x v="1"/>
    <x v="2"/>
    <x v="1"/>
    <x v="4"/>
    <x v="2"/>
    <x v="0"/>
    <n v="98916"/>
  </r>
  <r>
    <s v="EMP1158"/>
    <n v="38"/>
    <x v="1"/>
    <x v="0"/>
    <x v="1"/>
    <x v="1"/>
    <x v="1"/>
    <x v="1"/>
    <x v="0"/>
    <n v="38711"/>
  </r>
  <r>
    <s v="EMP1159"/>
    <n v="23"/>
    <x v="2"/>
    <x v="1"/>
    <x v="1"/>
    <x v="4"/>
    <x v="1"/>
    <x v="0"/>
    <x v="0"/>
    <n v="104318"/>
  </r>
  <r>
    <s v="EMP1160"/>
    <n v="23"/>
    <x v="2"/>
    <x v="0"/>
    <x v="1"/>
    <x v="4"/>
    <x v="0"/>
    <x v="1"/>
    <x v="1"/>
    <n v="112970"/>
  </r>
  <r>
    <s v="EMP1161"/>
    <n v="49"/>
    <x v="3"/>
    <x v="0"/>
    <x v="2"/>
    <x v="3"/>
    <x v="2"/>
    <x v="0"/>
    <x v="0"/>
    <n v="115553"/>
  </r>
  <r>
    <s v="EMP1162"/>
    <n v="44"/>
    <x v="3"/>
    <x v="1"/>
    <x v="0"/>
    <x v="0"/>
    <x v="1"/>
    <x v="1"/>
    <x v="1"/>
    <n v="60707"/>
  </r>
  <r>
    <s v="EMP1163"/>
    <n v="58"/>
    <x v="0"/>
    <x v="0"/>
    <x v="1"/>
    <x v="3"/>
    <x v="3"/>
    <x v="0"/>
    <x v="0"/>
    <n v="69110"/>
  </r>
  <r>
    <s v="EMP1164"/>
    <n v="53"/>
    <x v="0"/>
    <x v="0"/>
    <x v="1"/>
    <x v="4"/>
    <x v="0"/>
    <x v="1"/>
    <x v="0"/>
    <n v="91788"/>
  </r>
  <r>
    <s v="EMP1165"/>
    <n v="54"/>
    <x v="0"/>
    <x v="0"/>
    <x v="1"/>
    <x v="4"/>
    <x v="4"/>
    <x v="0"/>
    <x v="0"/>
    <n v="112879"/>
  </r>
  <r>
    <s v="EMP1166"/>
    <n v="22"/>
    <x v="2"/>
    <x v="0"/>
    <x v="2"/>
    <x v="2"/>
    <x v="0"/>
    <x v="2"/>
    <x v="0"/>
    <n v="68827"/>
  </r>
  <r>
    <s v="EMP1167"/>
    <n v="40"/>
    <x v="3"/>
    <x v="0"/>
    <x v="2"/>
    <x v="4"/>
    <x v="4"/>
    <x v="2"/>
    <x v="1"/>
    <n v="35655"/>
  </r>
  <r>
    <s v="EMP1168"/>
    <n v="23"/>
    <x v="2"/>
    <x v="1"/>
    <x v="1"/>
    <x v="2"/>
    <x v="0"/>
    <x v="0"/>
    <x v="1"/>
    <n v="74859"/>
  </r>
  <r>
    <s v="EMP1169"/>
    <n v="47"/>
    <x v="3"/>
    <x v="0"/>
    <x v="3"/>
    <x v="0"/>
    <x v="0"/>
    <x v="1"/>
    <x v="1"/>
    <n v="83625"/>
  </r>
  <r>
    <s v="EMP1170"/>
    <n v="53"/>
    <x v="0"/>
    <x v="1"/>
    <x v="1"/>
    <x v="3"/>
    <x v="0"/>
    <x v="0"/>
    <x v="1"/>
    <n v="82098"/>
  </r>
  <r>
    <s v="EMP1171"/>
    <n v="27"/>
    <x v="2"/>
    <x v="0"/>
    <x v="1"/>
    <x v="3"/>
    <x v="4"/>
    <x v="1"/>
    <x v="0"/>
    <n v="45251"/>
  </r>
  <r>
    <s v="EMP1172"/>
    <n v="53"/>
    <x v="0"/>
    <x v="1"/>
    <x v="2"/>
    <x v="2"/>
    <x v="4"/>
    <x v="2"/>
    <x v="0"/>
    <n v="30526"/>
  </r>
  <r>
    <s v="EMP1173"/>
    <n v="25"/>
    <x v="2"/>
    <x v="1"/>
    <x v="1"/>
    <x v="3"/>
    <x v="0"/>
    <x v="1"/>
    <x v="1"/>
    <n v="98760"/>
  </r>
  <r>
    <s v="EMP1174"/>
    <n v="32"/>
    <x v="1"/>
    <x v="0"/>
    <x v="1"/>
    <x v="4"/>
    <x v="1"/>
    <x v="2"/>
    <x v="0"/>
    <n v="77837"/>
  </r>
  <r>
    <s v="EMP1175"/>
    <n v="38"/>
    <x v="1"/>
    <x v="0"/>
    <x v="2"/>
    <x v="1"/>
    <x v="2"/>
    <x v="1"/>
    <x v="0"/>
    <n v="41536"/>
  </r>
  <r>
    <s v="EMP1176"/>
    <n v="59"/>
    <x v="0"/>
    <x v="0"/>
    <x v="1"/>
    <x v="2"/>
    <x v="2"/>
    <x v="1"/>
    <x v="0"/>
    <n v="58541"/>
  </r>
  <r>
    <s v="EMP1177"/>
    <n v="45"/>
    <x v="3"/>
    <x v="1"/>
    <x v="1"/>
    <x v="3"/>
    <x v="2"/>
    <x v="1"/>
    <x v="0"/>
    <n v="109083"/>
  </r>
  <r>
    <s v="EMP1178"/>
    <n v="26"/>
    <x v="2"/>
    <x v="0"/>
    <x v="1"/>
    <x v="2"/>
    <x v="4"/>
    <x v="0"/>
    <x v="1"/>
    <n v="81027"/>
  </r>
  <r>
    <s v="EMP1179"/>
    <n v="55"/>
    <x v="0"/>
    <x v="1"/>
    <x v="1"/>
    <x v="2"/>
    <x v="4"/>
    <x v="0"/>
    <x v="0"/>
    <n v="64531"/>
  </r>
  <r>
    <s v="EMP1180"/>
    <n v="27"/>
    <x v="2"/>
    <x v="1"/>
    <x v="1"/>
    <x v="1"/>
    <x v="1"/>
    <x v="2"/>
    <x v="0"/>
    <n v="38712"/>
  </r>
  <r>
    <s v="EMP1181"/>
    <n v="43"/>
    <x v="3"/>
    <x v="1"/>
    <x v="1"/>
    <x v="4"/>
    <x v="2"/>
    <x v="2"/>
    <x v="0"/>
    <n v="95455"/>
  </r>
  <r>
    <s v="EMP1182"/>
    <n v="32"/>
    <x v="1"/>
    <x v="0"/>
    <x v="2"/>
    <x v="2"/>
    <x v="2"/>
    <x v="0"/>
    <x v="1"/>
    <n v="104744"/>
  </r>
  <r>
    <s v="EMP1183"/>
    <n v="37"/>
    <x v="1"/>
    <x v="0"/>
    <x v="2"/>
    <x v="3"/>
    <x v="0"/>
    <x v="2"/>
    <x v="0"/>
    <n v="35109"/>
  </r>
  <r>
    <s v="EMP1184"/>
    <n v="54"/>
    <x v="0"/>
    <x v="1"/>
    <x v="2"/>
    <x v="0"/>
    <x v="4"/>
    <x v="0"/>
    <x v="1"/>
    <n v="79268"/>
  </r>
  <r>
    <s v="EMP1185"/>
    <n v="30"/>
    <x v="1"/>
    <x v="1"/>
    <x v="2"/>
    <x v="2"/>
    <x v="2"/>
    <x v="1"/>
    <x v="1"/>
    <n v="84615"/>
  </r>
  <r>
    <s v="EMP1186"/>
    <n v="27"/>
    <x v="2"/>
    <x v="0"/>
    <x v="2"/>
    <x v="2"/>
    <x v="1"/>
    <x v="2"/>
    <x v="0"/>
    <n v="112503"/>
  </r>
  <r>
    <s v="EMP1187"/>
    <n v="37"/>
    <x v="1"/>
    <x v="1"/>
    <x v="1"/>
    <x v="1"/>
    <x v="1"/>
    <x v="2"/>
    <x v="0"/>
    <n v="59759"/>
  </r>
  <r>
    <s v="EMP1188"/>
    <n v="50"/>
    <x v="0"/>
    <x v="0"/>
    <x v="1"/>
    <x v="4"/>
    <x v="2"/>
    <x v="0"/>
    <x v="0"/>
    <n v="115708"/>
  </r>
  <r>
    <s v="EMP1189"/>
    <n v="24"/>
    <x v="2"/>
    <x v="1"/>
    <x v="1"/>
    <x v="0"/>
    <x v="4"/>
    <x v="2"/>
    <x v="1"/>
    <n v="90112"/>
  </r>
  <r>
    <s v="EMP1190"/>
    <n v="41"/>
    <x v="3"/>
    <x v="0"/>
    <x v="0"/>
    <x v="3"/>
    <x v="1"/>
    <x v="2"/>
    <x v="0"/>
    <n v="56589"/>
  </r>
  <r>
    <s v="EMP1191"/>
    <n v="57"/>
    <x v="0"/>
    <x v="1"/>
    <x v="1"/>
    <x v="0"/>
    <x v="0"/>
    <x v="1"/>
    <x v="0"/>
    <n v="60015"/>
  </r>
  <r>
    <s v="EMP1192"/>
    <n v="40"/>
    <x v="3"/>
    <x v="0"/>
    <x v="1"/>
    <x v="3"/>
    <x v="1"/>
    <x v="2"/>
    <x v="1"/>
    <n v="59009"/>
  </r>
  <r>
    <s v="EMP1193"/>
    <n v="47"/>
    <x v="3"/>
    <x v="1"/>
    <x v="2"/>
    <x v="4"/>
    <x v="3"/>
    <x v="1"/>
    <x v="0"/>
    <n v="113309"/>
  </r>
  <r>
    <s v="EMP1194"/>
    <n v="24"/>
    <x v="2"/>
    <x v="0"/>
    <x v="3"/>
    <x v="3"/>
    <x v="3"/>
    <x v="0"/>
    <x v="0"/>
    <n v="92046"/>
  </r>
  <r>
    <s v="EMP1195"/>
    <n v="40"/>
    <x v="3"/>
    <x v="0"/>
    <x v="1"/>
    <x v="1"/>
    <x v="4"/>
    <x v="2"/>
    <x v="0"/>
    <n v="56143"/>
  </r>
  <r>
    <s v="EMP1196"/>
    <n v="41"/>
    <x v="3"/>
    <x v="1"/>
    <x v="1"/>
    <x v="1"/>
    <x v="2"/>
    <x v="1"/>
    <x v="0"/>
    <n v="36154"/>
  </r>
  <r>
    <s v="EMP1197"/>
    <n v="53"/>
    <x v="0"/>
    <x v="1"/>
    <x v="0"/>
    <x v="1"/>
    <x v="4"/>
    <x v="0"/>
    <x v="0"/>
    <n v="51804"/>
  </r>
  <r>
    <s v="EMP1198"/>
    <n v="28"/>
    <x v="2"/>
    <x v="0"/>
    <x v="3"/>
    <x v="1"/>
    <x v="4"/>
    <x v="2"/>
    <x v="0"/>
    <n v="71688"/>
  </r>
  <r>
    <s v="EMP1199"/>
    <n v="54"/>
    <x v="0"/>
    <x v="1"/>
    <x v="3"/>
    <x v="0"/>
    <x v="4"/>
    <x v="0"/>
    <x v="1"/>
    <n v="942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AAFD759-5850-4467-B457-8E0F27EB2600}" name="PivotTable7" cacheId="2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D4" firstHeaderRow="1" firstDataRow="1" firstDataCol="0" rowPageCount="1" colPageCount="1"/>
  <pivotFields count="10">
    <pivotField dataField="1" showAll="0"/>
    <pivotField showAll="0"/>
    <pivotField showAll="0"/>
    <pivotField showAll="0">
      <items count="3">
        <item x="0"/>
        <item x="1"/>
        <item t="default"/>
      </items>
    </pivotField>
    <pivotField showAll="0"/>
    <pivotField showAll="0">
      <items count="6">
        <item x="0"/>
        <item x="3"/>
        <item x="1"/>
        <item x="4"/>
        <item x="2"/>
        <item t="default"/>
      </items>
    </pivotField>
    <pivotField showAll="0"/>
    <pivotField showAll="0"/>
    <pivotField axis="axisPage" multipleItemSelectionAllowed="1" showAll="0">
      <items count="3">
        <item x="0"/>
        <item x="1"/>
        <item t="default"/>
      </items>
    </pivotField>
    <pivotField showAll="0"/>
  </pivotFields>
  <rowItems count="1">
    <i/>
  </rowItems>
  <colItems count="1">
    <i/>
  </colItems>
  <pageFields count="1">
    <pageField fld="8" hier="-1"/>
  </pageFields>
  <dataFields count="1">
    <dataField name="Count of Employee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050F1F-8848-4931-BDED-14C571EBA27B}" name="PivotTable6" cacheId="2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rowPageCount="1" colPageCount="1"/>
  <pivotFields count="10">
    <pivotField showAll="0"/>
    <pivotField showAll="0"/>
    <pivotField showAll="0"/>
    <pivotField showAll="0">
      <items count="3">
        <item x="0"/>
        <item x="1"/>
        <item t="default"/>
      </items>
    </pivotField>
    <pivotField showAll="0"/>
    <pivotField showAll="0">
      <items count="6">
        <item x="0"/>
        <item x="3"/>
        <item x="1"/>
        <item x="4"/>
        <item x="2"/>
        <item t="default"/>
      </items>
    </pivotField>
    <pivotField showAll="0"/>
    <pivotField showAll="0"/>
    <pivotField axis="axisPage" dataField="1" showAll="0">
      <items count="3">
        <item h="1" x="0"/>
        <item x="1"/>
        <item t="default"/>
      </items>
    </pivotField>
    <pivotField showAll="0"/>
  </pivotFields>
  <rowItems count="1">
    <i/>
  </rowItems>
  <colItems count="1">
    <i/>
  </colItems>
  <pageFields count="1">
    <pageField fld="8" item="1" hier="-1"/>
  </pageFields>
  <dataFields count="1">
    <dataField name="Count of Attrition" fld="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31514C2-F7D3-441B-9987-B5669D398DED}" name="PivotTable9" cacheId="2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3:J4" firstHeaderRow="1" firstDataRow="1" firstDataCol="0"/>
  <pivotFields count="10">
    <pivotField showAll="0"/>
    <pivotField dataField="1" showAll="0"/>
    <pivotField showAll="0"/>
    <pivotField showAll="0">
      <items count="3">
        <item x="0"/>
        <item x="1"/>
        <item t="default"/>
      </items>
    </pivotField>
    <pivotField showAll="0"/>
    <pivotField showAll="0">
      <items count="6">
        <item x="0"/>
        <item x="3"/>
        <item x="1"/>
        <item x="4"/>
        <item x="2"/>
        <item t="default"/>
      </items>
    </pivotField>
    <pivotField showAll="0"/>
    <pivotField showAll="0"/>
    <pivotField showAll="0"/>
    <pivotField showAll="0"/>
  </pivotFields>
  <rowItems count="1">
    <i/>
  </rowItems>
  <colItems count="1">
    <i/>
  </colItems>
  <dataFields count="1">
    <dataField name="Average of Age" fld="1" subtotal="average" baseField="0" baseItem="0" numFmtId="1"/>
  </dataFields>
  <formats count="1">
    <format dxfId="1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AEE07D5-2032-4BA0-85BF-31FDC18BAC81}" name="PivotTable8" cacheId="26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G3:G4" firstHeaderRow="1" firstDataRow="1" firstDataCol="0" rowPageCount="1" colPageCount="1"/>
  <pivotFields count="10">
    <pivotField showAll="0"/>
    <pivotField showAll="0"/>
    <pivotField showAll="0"/>
    <pivotField showAll="0">
      <items count="3">
        <item x="0"/>
        <item x="1"/>
        <item t="default"/>
      </items>
    </pivotField>
    <pivotField showAll="0"/>
    <pivotField showAll="0">
      <items count="6">
        <item x="0"/>
        <item x="3"/>
        <item x="1"/>
        <item x="4"/>
        <item x="2"/>
        <item t="default"/>
      </items>
    </pivotField>
    <pivotField showAll="0"/>
    <pivotField showAll="0"/>
    <pivotField axis="axisPage" dataField="1" showAll="0">
      <items count="3">
        <item x="0"/>
        <item x="1"/>
        <item t="default"/>
      </items>
    </pivotField>
    <pivotField showAll="0"/>
  </pivotFields>
  <rowItems count="1">
    <i/>
  </rowItems>
  <colItems count="1">
    <i/>
  </colItems>
  <pageFields count="1">
    <pageField fld="8" item="0" hier="-1"/>
  </pageFields>
  <dataFields count="1">
    <dataField name="Count of Active Employees" fld="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1FB5799-AC8D-4514-A2D5-14FF80164772}" name="PivotTable7" cacheId="26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L12:O17" firstHeaderRow="1" firstDataRow="2" firstDataCol="1"/>
  <pivotFields count="10">
    <pivotField dataField="1" compact="0" outline="0" showAll="0"/>
    <pivotField compact="0" outline="0" showAll="0"/>
    <pivotField compact="0" outline="0" showAll="0"/>
    <pivotField compact="0" outline="0" showAll="0">
      <items count="3">
        <item x="0"/>
        <item x="1"/>
        <item t="default"/>
      </items>
    </pivotField>
    <pivotField compact="0" outline="0" showAll="0"/>
    <pivotField compact="0" outline="0" showAll="0">
      <items count="6">
        <item x="0"/>
        <item x="3"/>
        <item x="1"/>
        <item x="4"/>
        <item x="2"/>
        <item t="default"/>
      </items>
    </pivotField>
    <pivotField compact="0" outline="0" showAll="0"/>
    <pivotField axis="axisRow" compact="0" outline="0" showAll="0">
      <items count="4">
        <item x="1"/>
        <item x="2"/>
        <item x="0"/>
        <item t="default"/>
      </items>
    </pivotField>
    <pivotField axis="axisCol" compact="0" outline="0" showAll="0">
      <items count="3">
        <item x="0"/>
        <item x="1"/>
        <item t="default"/>
      </items>
    </pivotField>
    <pivotField compact="0" outline="0" showAll="0"/>
  </pivotFields>
  <rowFields count="1">
    <field x="7"/>
  </rowFields>
  <rowItems count="4">
    <i>
      <x/>
    </i>
    <i>
      <x v="1"/>
    </i>
    <i>
      <x v="2"/>
    </i>
    <i t="grand">
      <x/>
    </i>
  </rowItems>
  <colFields count="1">
    <field x="8"/>
  </colFields>
  <colItems count="3">
    <i>
      <x/>
    </i>
    <i>
      <x v="1"/>
    </i>
    <i t="grand">
      <x/>
    </i>
  </colItems>
  <dataFields count="1">
    <dataField name="Count of Employee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A5D0919-E702-4009-B98A-E5052B07470B}" name="PivotTable9" cacheId="26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5">
  <location ref="B30:B31" firstHeaderRow="1" firstDataRow="1" firstDataCol="0"/>
  <pivotFields count="10">
    <pivotField dataField="1" compact="0" outline="0" showAll="0"/>
    <pivotField compact="0" outline="0" showAll="0"/>
    <pivotField compact="0" outline="0" showAll="0"/>
    <pivotField compact="0" outline="0" showAll="0">
      <items count="3">
        <item x="0"/>
        <item x="1"/>
        <item t="default"/>
      </items>
    </pivotField>
    <pivotField compact="0" outline="0" showAll="0"/>
    <pivotField compact="0" outline="0" showAll="0">
      <items count="6">
        <item x="0"/>
        <item x="3"/>
        <item x="1"/>
        <item x="4"/>
        <item x="2"/>
        <item t="default"/>
      </items>
    </pivotField>
    <pivotField compact="0" outline="0" showAll="0"/>
    <pivotField compact="0" outline="0" showAll="0"/>
    <pivotField compact="0" outline="0" multipleItemSelectionAllowed="1" showAll="0"/>
    <pivotField compact="0" outline="0" showAll="0"/>
  </pivotFields>
  <rowItems count="1">
    <i/>
  </rowItems>
  <colItems count="1">
    <i/>
  </colItems>
  <dataFields count="1">
    <dataField name="Count of EmployeeID" fld="0" subtotal="count" baseField="0" baseItem="0" numFmtId="1"/>
  </dataFields>
  <formats count="1">
    <format dxfId="14">
      <pivotArea outline="0" collapsedLevelsAreSubtotals="1" fieldPosition="0"/>
    </format>
  </formats>
  <chartFormats count="1">
    <chartFormat chart="4"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1D1BA29-87EF-4CE5-900F-1FF2AE39B9D2}" name="PivotTable5" cacheId="26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B13:E17" firstHeaderRow="1" firstDataRow="2" firstDataCol="1"/>
  <pivotFields count="10">
    <pivotField dataField="1" compact="0" outline="0" showAll="0"/>
    <pivotField compact="0" outline="0" showAll="0"/>
    <pivotField compact="0" outline="0" showAll="0"/>
    <pivotField axis="axisRow" compact="0" outline="0" showAll="0">
      <items count="3">
        <item x="0"/>
        <item x="1"/>
        <item t="default"/>
      </items>
    </pivotField>
    <pivotField compact="0" outline="0" showAll="0"/>
    <pivotField compact="0" outline="0" showAll="0">
      <items count="6">
        <item x="0"/>
        <item x="3"/>
        <item x="1"/>
        <item x="4"/>
        <item x="2"/>
        <item t="default"/>
      </items>
    </pivotField>
    <pivotField compact="0" outline="0" showAll="0"/>
    <pivotField compact="0" outline="0" showAll="0"/>
    <pivotField axis="axisCol" compact="0" outline="0" showAll="0">
      <items count="3">
        <item x="0"/>
        <item x="1"/>
        <item t="default"/>
      </items>
    </pivotField>
    <pivotField compact="0" outline="0" showAll="0"/>
  </pivotFields>
  <rowFields count="1">
    <field x="3"/>
  </rowFields>
  <rowItems count="3">
    <i>
      <x/>
    </i>
    <i>
      <x v="1"/>
    </i>
    <i t="grand">
      <x/>
    </i>
  </rowItems>
  <colFields count="1">
    <field x="8"/>
  </colFields>
  <colItems count="3">
    <i>
      <x/>
    </i>
    <i>
      <x v="1"/>
    </i>
    <i t="grand">
      <x/>
    </i>
  </colItems>
  <dataFields count="1">
    <dataField name="Count of Employee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927226C-8D40-46D8-8A4F-7DFFFB37EB60}" name="PivotTable4" cacheId="26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4">
  <location ref="M2:O7" firstHeaderRow="1" firstDataRow="2" firstDataCol="1"/>
  <pivotFields count="10">
    <pivotField dataField="1" compact="0" outline="0" showAll="0"/>
    <pivotField compact="0" outline="0" showAll="0"/>
    <pivotField axis="axisRow" compact="0" outline="0" showAll="0">
      <items count="5">
        <item x="2"/>
        <item x="1"/>
        <item x="3"/>
        <item x="0"/>
        <item t="default"/>
      </items>
    </pivotField>
    <pivotField compact="0" outline="0" showAll="0">
      <items count="3">
        <item x="0"/>
        <item x="1"/>
        <item t="default"/>
      </items>
    </pivotField>
    <pivotField compact="0" outline="0" showAll="0"/>
    <pivotField compact="0" outline="0" showAll="0">
      <items count="6">
        <item x="0"/>
        <item x="3"/>
        <item x="1"/>
        <item x="4"/>
        <item x="2"/>
        <item t="default"/>
      </items>
    </pivotField>
    <pivotField compact="0" outline="0" showAll="0"/>
    <pivotField compact="0" outline="0" showAll="0"/>
    <pivotField axis="axisCol" compact="0" outline="0" showAll="0">
      <items count="3">
        <item x="0"/>
        <item x="1"/>
        <item t="default"/>
      </items>
    </pivotField>
    <pivotField compact="0" outline="0" showAll="0"/>
  </pivotFields>
  <rowFields count="1">
    <field x="2"/>
  </rowFields>
  <rowItems count="4">
    <i>
      <x/>
    </i>
    <i>
      <x v="1"/>
    </i>
    <i>
      <x v="2"/>
    </i>
    <i>
      <x v="3"/>
    </i>
  </rowItems>
  <colFields count="1">
    <field x="8"/>
  </colFields>
  <colItems count="2">
    <i>
      <x/>
    </i>
    <i>
      <x v="1"/>
    </i>
  </colItems>
  <dataFields count="1">
    <dataField name="Count of EmployeeID" fld="0" subtotal="count" baseField="0" baseItem="0"/>
  </dataFields>
  <chartFormats count="22">
    <chartFormat chart="10" format="4" series="1">
      <pivotArea type="data" outline="0" fieldPosition="0">
        <references count="2">
          <reference field="4294967294" count="1" selected="0">
            <x v="0"/>
          </reference>
          <reference field="8" count="1" selected="0">
            <x v="0"/>
          </reference>
        </references>
      </pivotArea>
    </chartFormat>
    <chartFormat chart="10" format="5" series="1">
      <pivotArea type="data" outline="0" fieldPosition="0">
        <references count="2">
          <reference field="4294967294" count="1" selected="0">
            <x v="0"/>
          </reference>
          <reference field="8" count="1" selected="0">
            <x v="1"/>
          </reference>
        </references>
      </pivotArea>
    </chartFormat>
    <chartFormat chart="21" format="16" series="1">
      <pivotArea type="data" outline="0" fieldPosition="0">
        <references count="2">
          <reference field="4294967294" count="1" selected="0">
            <x v="0"/>
          </reference>
          <reference field="8" count="1" selected="0">
            <x v="0"/>
          </reference>
        </references>
      </pivotArea>
    </chartFormat>
    <chartFormat chart="21" format="17">
      <pivotArea type="data" outline="0" fieldPosition="0">
        <references count="3">
          <reference field="4294967294" count="1" selected="0">
            <x v="0"/>
          </reference>
          <reference field="2" count="1" selected="0">
            <x v="0"/>
          </reference>
          <reference field="8" count="1" selected="0">
            <x v="0"/>
          </reference>
        </references>
      </pivotArea>
    </chartFormat>
    <chartFormat chart="21" format="18">
      <pivotArea type="data" outline="0" fieldPosition="0">
        <references count="3">
          <reference field="4294967294" count="1" selected="0">
            <x v="0"/>
          </reference>
          <reference field="2" count="1" selected="0">
            <x v="1"/>
          </reference>
          <reference field="8" count="1" selected="0">
            <x v="0"/>
          </reference>
        </references>
      </pivotArea>
    </chartFormat>
    <chartFormat chart="21" format="19">
      <pivotArea type="data" outline="0" fieldPosition="0">
        <references count="3">
          <reference field="4294967294" count="1" selected="0">
            <x v="0"/>
          </reference>
          <reference field="2" count="1" selected="0">
            <x v="2"/>
          </reference>
          <reference field="8" count="1" selected="0">
            <x v="0"/>
          </reference>
        </references>
      </pivotArea>
    </chartFormat>
    <chartFormat chart="21" format="20">
      <pivotArea type="data" outline="0" fieldPosition="0">
        <references count="3">
          <reference field="4294967294" count="1" selected="0">
            <x v="0"/>
          </reference>
          <reference field="2" count="1" selected="0">
            <x v="3"/>
          </reference>
          <reference field="8" count="1" selected="0">
            <x v="0"/>
          </reference>
        </references>
      </pivotArea>
    </chartFormat>
    <chartFormat chart="21" format="21" series="1">
      <pivotArea type="data" outline="0" fieldPosition="0">
        <references count="2">
          <reference field="4294967294" count="1" selected="0">
            <x v="0"/>
          </reference>
          <reference field="8" count="1" selected="0">
            <x v="1"/>
          </reference>
        </references>
      </pivotArea>
    </chartFormat>
    <chartFormat chart="21" format="22">
      <pivotArea type="data" outline="0" fieldPosition="0">
        <references count="3">
          <reference field="4294967294" count="1" selected="0">
            <x v="0"/>
          </reference>
          <reference field="2" count="1" selected="0">
            <x v="0"/>
          </reference>
          <reference field="8" count="1" selected="0">
            <x v="1"/>
          </reference>
        </references>
      </pivotArea>
    </chartFormat>
    <chartFormat chart="21" format="23">
      <pivotArea type="data" outline="0" fieldPosition="0">
        <references count="3">
          <reference field="4294967294" count="1" selected="0">
            <x v="0"/>
          </reference>
          <reference field="2" count="1" selected="0">
            <x v="1"/>
          </reference>
          <reference field="8" count="1" selected="0">
            <x v="1"/>
          </reference>
        </references>
      </pivotArea>
    </chartFormat>
    <chartFormat chart="21" format="24">
      <pivotArea type="data" outline="0" fieldPosition="0">
        <references count="3">
          <reference field="4294967294" count="1" selected="0">
            <x v="0"/>
          </reference>
          <reference field="2" count="1" selected="0">
            <x v="2"/>
          </reference>
          <reference field="8" count="1" selected="0">
            <x v="1"/>
          </reference>
        </references>
      </pivotArea>
    </chartFormat>
    <chartFormat chart="21" format="25">
      <pivotArea type="data" outline="0" fieldPosition="0">
        <references count="3">
          <reference field="4294967294" count="1" selected="0">
            <x v="0"/>
          </reference>
          <reference field="2" count="1" selected="0">
            <x v="3"/>
          </reference>
          <reference field="8" count="1" selected="0">
            <x v="1"/>
          </reference>
        </references>
      </pivotArea>
    </chartFormat>
    <chartFormat chart="23" format="36" series="1">
      <pivotArea type="data" outline="0" fieldPosition="0">
        <references count="2">
          <reference field="4294967294" count="1" selected="0">
            <x v="0"/>
          </reference>
          <reference field="8" count="1" selected="0">
            <x v="0"/>
          </reference>
        </references>
      </pivotArea>
    </chartFormat>
    <chartFormat chart="23" format="37">
      <pivotArea type="data" outline="0" fieldPosition="0">
        <references count="3">
          <reference field="4294967294" count="1" selected="0">
            <x v="0"/>
          </reference>
          <reference field="2" count="1" selected="0">
            <x v="0"/>
          </reference>
          <reference field="8" count="1" selected="0">
            <x v="0"/>
          </reference>
        </references>
      </pivotArea>
    </chartFormat>
    <chartFormat chart="23" format="38">
      <pivotArea type="data" outline="0" fieldPosition="0">
        <references count="3">
          <reference field="4294967294" count="1" selected="0">
            <x v="0"/>
          </reference>
          <reference field="2" count="1" selected="0">
            <x v="1"/>
          </reference>
          <reference field="8" count="1" selected="0">
            <x v="0"/>
          </reference>
        </references>
      </pivotArea>
    </chartFormat>
    <chartFormat chart="23" format="39">
      <pivotArea type="data" outline="0" fieldPosition="0">
        <references count="3">
          <reference field="4294967294" count="1" selected="0">
            <x v="0"/>
          </reference>
          <reference field="2" count="1" selected="0">
            <x v="2"/>
          </reference>
          <reference field="8" count="1" selected="0">
            <x v="0"/>
          </reference>
        </references>
      </pivotArea>
    </chartFormat>
    <chartFormat chart="23" format="40">
      <pivotArea type="data" outline="0" fieldPosition="0">
        <references count="3">
          <reference field="4294967294" count="1" selected="0">
            <x v="0"/>
          </reference>
          <reference field="2" count="1" selected="0">
            <x v="3"/>
          </reference>
          <reference field="8" count="1" selected="0">
            <x v="0"/>
          </reference>
        </references>
      </pivotArea>
    </chartFormat>
    <chartFormat chart="23" format="41" series="1">
      <pivotArea type="data" outline="0" fieldPosition="0">
        <references count="2">
          <reference field="4294967294" count="1" selected="0">
            <x v="0"/>
          </reference>
          <reference field="8" count="1" selected="0">
            <x v="1"/>
          </reference>
        </references>
      </pivotArea>
    </chartFormat>
    <chartFormat chart="23" format="42">
      <pivotArea type="data" outline="0" fieldPosition="0">
        <references count="3">
          <reference field="4294967294" count="1" selected="0">
            <x v="0"/>
          </reference>
          <reference field="2" count="1" selected="0">
            <x v="0"/>
          </reference>
          <reference field="8" count="1" selected="0">
            <x v="1"/>
          </reference>
        </references>
      </pivotArea>
    </chartFormat>
    <chartFormat chart="23" format="43">
      <pivotArea type="data" outline="0" fieldPosition="0">
        <references count="3">
          <reference field="4294967294" count="1" selected="0">
            <x v="0"/>
          </reference>
          <reference field="2" count="1" selected="0">
            <x v="1"/>
          </reference>
          <reference field="8" count="1" selected="0">
            <x v="1"/>
          </reference>
        </references>
      </pivotArea>
    </chartFormat>
    <chartFormat chart="23" format="44">
      <pivotArea type="data" outline="0" fieldPosition="0">
        <references count="3">
          <reference field="4294967294" count="1" selected="0">
            <x v="0"/>
          </reference>
          <reference field="2" count="1" selected="0">
            <x v="2"/>
          </reference>
          <reference field="8" count="1" selected="0">
            <x v="1"/>
          </reference>
        </references>
      </pivotArea>
    </chartFormat>
    <chartFormat chart="23" format="45">
      <pivotArea type="data" outline="0" fieldPosition="0">
        <references count="3">
          <reference field="4294967294" count="1" selected="0">
            <x v="0"/>
          </reference>
          <reference field="2" count="1" selected="0">
            <x v="3"/>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F4484C5-F49F-449F-8632-70CE73E7293B}" name="PivotTable3" cacheId="26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7">
  <location ref="J3:K6" firstHeaderRow="1" firstDataRow="1" firstDataCol="1"/>
  <pivotFields count="10">
    <pivotField compact="0" outline="0" showAll="0"/>
    <pivotField compact="0" outline="0" showAll="0"/>
    <pivotField compact="0" outline="0" showAll="0"/>
    <pivotField compact="0" outline="0" showAll="0">
      <items count="3">
        <item x="0"/>
        <item x="1"/>
        <item t="default"/>
      </items>
    </pivotField>
    <pivotField compact="0" outline="0" showAll="0"/>
    <pivotField compact="0" outline="0" showAll="0">
      <items count="6">
        <item x="0"/>
        <item x="3"/>
        <item x="1"/>
        <item x="4"/>
        <item x="2"/>
        <item t="default"/>
      </items>
    </pivotField>
    <pivotField compact="0" outline="0" showAll="0"/>
    <pivotField compact="0" outline="0" showAll="0"/>
    <pivotField axis="axisRow" compact="0" outline="0" showAll="0">
      <items count="3">
        <item x="0"/>
        <item x="1"/>
        <item t="default"/>
      </items>
    </pivotField>
    <pivotField dataField="1" compact="0" outline="0" showAll="0"/>
  </pivotFields>
  <rowFields count="1">
    <field x="8"/>
  </rowFields>
  <rowItems count="3">
    <i>
      <x/>
    </i>
    <i>
      <x v="1"/>
    </i>
    <i t="grand">
      <x/>
    </i>
  </rowItems>
  <colItems count="1">
    <i/>
  </colItems>
  <dataFields count="1">
    <dataField name="Average of Salary" fld="9" subtotal="average" baseField="0" baseItem="0"/>
  </dataFields>
  <formats count="1">
    <format dxfId="15">
      <pivotArea outline="0" fieldPosition="0">
        <references count="1">
          <reference field="8" count="0" selected="0"/>
        </references>
      </pivotArea>
    </format>
  </formats>
  <chartFormats count="3">
    <chartFormat chart="16" format="4" series="1">
      <pivotArea type="data" outline="0" fieldPosition="0">
        <references count="1">
          <reference field="4294967294" count="1" selected="0">
            <x v="0"/>
          </reference>
        </references>
      </pivotArea>
    </chartFormat>
    <chartFormat chart="16" format="5">
      <pivotArea type="data" outline="0" fieldPosition="0">
        <references count="2">
          <reference field="4294967294" count="1" selected="0">
            <x v="0"/>
          </reference>
          <reference field="8" count="1" selected="0">
            <x v="0"/>
          </reference>
        </references>
      </pivotArea>
    </chartFormat>
    <chartFormat chart="16" format="6">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77ADA88-3449-4E2C-A502-338AEB2763D5}" name="PivotTable2" cacheId="26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5">
  <location ref="E2:H9" firstHeaderRow="1" firstDataRow="2" firstDataCol="1"/>
  <pivotFields count="10">
    <pivotField dataField="1" compact="0" outline="0" showAll="0"/>
    <pivotField compact="0" outline="0" showAll="0"/>
    <pivotField compact="0" outline="0" showAll="0"/>
    <pivotField compact="0" outline="0" showAll="0">
      <items count="3">
        <item x="0"/>
        <item x="1"/>
        <item t="default"/>
      </items>
    </pivotField>
    <pivotField compact="0" outline="0" showAll="0"/>
    <pivotField compact="0" outline="0" showAll="0">
      <items count="6">
        <item x="0"/>
        <item x="3"/>
        <item x="1"/>
        <item x="4"/>
        <item x="2"/>
        <item t="default"/>
      </items>
    </pivotField>
    <pivotField axis="axisRow" compact="0" outline="0" showAll="0">
      <items count="6">
        <item x="2"/>
        <item x="4"/>
        <item x="1"/>
        <item x="3"/>
        <item x="0"/>
        <item t="default"/>
      </items>
    </pivotField>
    <pivotField compact="0" outline="0" showAll="0"/>
    <pivotField axis="axisCol" compact="0" outline="0" showAll="0">
      <items count="3">
        <item x="0"/>
        <item x="1"/>
        <item t="default"/>
      </items>
    </pivotField>
    <pivotField compact="0" outline="0" showAll="0"/>
  </pivotFields>
  <rowFields count="1">
    <field x="6"/>
  </rowFields>
  <rowItems count="6">
    <i>
      <x/>
    </i>
    <i>
      <x v="1"/>
    </i>
    <i>
      <x v="2"/>
    </i>
    <i>
      <x v="3"/>
    </i>
    <i>
      <x v="4"/>
    </i>
    <i t="grand">
      <x/>
    </i>
  </rowItems>
  <colFields count="1">
    <field x="8"/>
  </colFields>
  <colItems count="3">
    <i>
      <x/>
    </i>
    <i>
      <x v="1"/>
    </i>
    <i t="grand">
      <x/>
    </i>
  </colItems>
  <dataFields count="1">
    <dataField name="Count of EmployeeID" fld="0" subtotal="count" baseField="0" baseItem="0"/>
  </dataFields>
  <chartFormats count="2">
    <chartFormat chart="8" format="4" series="1">
      <pivotArea type="data" outline="0" fieldPosition="0">
        <references count="2">
          <reference field="4294967294" count="1" selected="0">
            <x v="0"/>
          </reference>
          <reference field="8" count="1" selected="0">
            <x v="0"/>
          </reference>
        </references>
      </pivotArea>
    </chartFormat>
    <chartFormat chart="8" format="5" series="1">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26C8AB6-B489-4B40-BB4F-616B015274F6}" name="PivotTable1" cacheId="26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5">
  <location ref="B3:C9" firstHeaderRow="1" firstDataRow="1" firstDataCol="1" rowPageCount="1" colPageCount="1"/>
  <pivotFields count="10">
    <pivotField dataField="1" compact="0" outline="0" showAll="0"/>
    <pivotField compact="0" outline="0" showAll="0"/>
    <pivotField compact="0" outline="0" showAll="0"/>
    <pivotField compact="0" outline="0" showAll="0">
      <items count="3">
        <item x="0"/>
        <item x="1"/>
        <item t="default"/>
      </items>
    </pivotField>
    <pivotField compact="0" outline="0" showAll="0"/>
    <pivotField axis="axisRow" compact="0" outline="0" showAll="0">
      <items count="6">
        <item x="0"/>
        <item x="3"/>
        <item x="1"/>
        <item x="4"/>
        <item x="2"/>
        <item t="default"/>
      </items>
    </pivotField>
    <pivotField compact="0" outline="0" showAll="0"/>
    <pivotField compact="0" outline="0" showAll="0"/>
    <pivotField axis="axisPage" compact="0" outline="0" multipleItemSelectionAllowed="1" showAll="0">
      <items count="3">
        <item x="0"/>
        <item x="1"/>
        <item t="default"/>
      </items>
    </pivotField>
    <pivotField compact="0" outline="0" showAll="0"/>
  </pivotFields>
  <rowFields count="1">
    <field x="5"/>
  </rowFields>
  <rowItems count="6">
    <i>
      <x/>
    </i>
    <i>
      <x v="1"/>
    </i>
    <i>
      <x v="2"/>
    </i>
    <i>
      <x v="3"/>
    </i>
    <i>
      <x v="4"/>
    </i>
    <i t="grand">
      <x/>
    </i>
  </rowItems>
  <colItems count="1">
    <i/>
  </colItems>
  <pageFields count="1">
    <pageField fld="8" hier="-1"/>
  </pageFields>
  <dataFields count="1">
    <dataField name="Count of EmployeeID" fld="0" subtotal="count" baseField="0" baseItem="0" numFmtId="1"/>
  </dataFields>
  <formats count="1">
    <format dxfId="16">
      <pivotArea outline="0" collapsedLevelsAreSubtotals="1" fieldPosition="0"/>
    </format>
  </formats>
  <chartFormats count="6">
    <chartFormat chart="4" format="7" series="1">
      <pivotArea type="data" outline="0" fieldPosition="0">
        <references count="1">
          <reference field="4294967294" count="1" selected="0">
            <x v="0"/>
          </reference>
        </references>
      </pivotArea>
    </chartFormat>
    <chartFormat chart="4" format="8">
      <pivotArea type="data" outline="0" fieldPosition="0">
        <references count="2">
          <reference field="4294967294" count="1" selected="0">
            <x v="0"/>
          </reference>
          <reference field="5" count="1" selected="0">
            <x v="0"/>
          </reference>
        </references>
      </pivotArea>
    </chartFormat>
    <chartFormat chart="4" format="9">
      <pivotArea type="data" outline="0" fieldPosition="0">
        <references count="2">
          <reference field="4294967294" count="1" selected="0">
            <x v="0"/>
          </reference>
          <reference field="5" count="1" selected="0">
            <x v="1"/>
          </reference>
        </references>
      </pivotArea>
    </chartFormat>
    <chartFormat chart="4" format="10">
      <pivotArea type="data" outline="0" fieldPosition="0">
        <references count="2">
          <reference field="4294967294" count="1" selected="0">
            <x v="0"/>
          </reference>
          <reference field="5" count="1" selected="0">
            <x v="2"/>
          </reference>
        </references>
      </pivotArea>
    </chartFormat>
    <chartFormat chart="4" format="11">
      <pivotArea type="data" outline="0" fieldPosition="0">
        <references count="2">
          <reference field="4294967294" count="1" selected="0">
            <x v="0"/>
          </reference>
          <reference field="5" count="1" selected="0">
            <x v="3"/>
          </reference>
        </references>
      </pivotArea>
    </chartFormat>
    <chartFormat chart="4" format="12">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03BAAB7-00D9-46F0-B247-E48A62C90854}" name="PivotTable8" cacheId="26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3">
  <location ref="B22:E28" firstHeaderRow="0" firstDataRow="1" firstDataCol="1"/>
  <pivotFields count="10">
    <pivotField compact="0" outline="0" showAll="0"/>
    <pivotField compact="0" outline="0" showAll="0"/>
    <pivotField compact="0" outline="0" showAll="0"/>
    <pivotField compact="0" outline="0" showAll="0">
      <items count="3">
        <item x="0"/>
        <item x="1"/>
        <item t="default"/>
      </items>
    </pivotField>
    <pivotField compact="0" outline="0" showAll="0"/>
    <pivotField axis="axisRow" compact="0" outline="0" showAll="0">
      <items count="6">
        <item x="0"/>
        <item x="3"/>
        <item x="1"/>
        <item x="4"/>
        <item x="2"/>
        <item t="default"/>
      </items>
    </pivotField>
    <pivotField compact="0" outline="0" showAll="0"/>
    <pivotField compact="0" outline="0" showAll="0"/>
    <pivotField compact="0" outline="0" showAll="0"/>
    <pivotField dataField="1" compact="0" outline="0" showAll="0"/>
  </pivotFields>
  <rowFields count="1">
    <field x="5"/>
  </rowFields>
  <rowItems count="6">
    <i>
      <x/>
    </i>
    <i>
      <x v="1"/>
    </i>
    <i>
      <x v="2"/>
    </i>
    <i>
      <x v="3"/>
    </i>
    <i>
      <x v="4"/>
    </i>
    <i t="grand">
      <x/>
    </i>
  </rowItems>
  <colFields count="1">
    <field x="-2"/>
  </colFields>
  <colItems count="3">
    <i>
      <x/>
    </i>
    <i i="1">
      <x v="1"/>
    </i>
    <i i="2">
      <x v="2"/>
    </i>
  </colItems>
  <dataFields count="3">
    <dataField name="Average of Salary" fld="9" subtotal="average" baseField="0" baseItem="0"/>
    <dataField name="Max of Salary" fld="9" subtotal="max" baseField="0" baseItem="0"/>
    <dataField name="Min of Salary" fld="9" subtotal="min" baseField="0" baseItem="0"/>
  </dataFields>
  <formats count="1">
    <format dxfId="17">
      <pivotArea outline="0" fieldPosition="0">
        <references count="2">
          <reference field="4294967294" count="1" selected="0">
            <x v="0"/>
          </reference>
          <reference field="5"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CBAED9F-0E39-4D2D-BD93-CAE629A62504}" name="PivotTable6" cacheId="26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4">
  <location ref="G13:J19" firstHeaderRow="1" firstDataRow="2" firstDataCol="1"/>
  <pivotFields count="10">
    <pivotField dataField="1" compact="0" outline="0" showAll="0"/>
    <pivotField compact="0" outline="0" showAll="0"/>
    <pivotField compact="0" outline="0" showAll="0"/>
    <pivotField compact="0" outline="0" showAll="0">
      <items count="3">
        <item x="0"/>
        <item x="1"/>
        <item t="default"/>
      </items>
    </pivotField>
    <pivotField axis="axisRow" compact="0" outline="0" showAll="0">
      <items count="5">
        <item x="1"/>
        <item x="0"/>
        <item x="2"/>
        <item x="3"/>
        <item t="default"/>
      </items>
    </pivotField>
    <pivotField compact="0" outline="0" showAll="0">
      <items count="6">
        <item x="0"/>
        <item x="3"/>
        <item x="1"/>
        <item x="4"/>
        <item x="2"/>
        <item t="default"/>
      </items>
    </pivotField>
    <pivotField compact="0" outline="0" showAll="0"/>
    <pivotField compact="0" outline="0" showAll="0"/>
    <pivotField axis="axisCol" compact="0" outline="0" showAll="0">
      <items count="3">
        <item x="0"/>
        <item x="1"/>
        <item t="default"/>
      </items>
    </pivotField>
    <pivotField compact="0" outline="0" showAll="0"/>
  </pivotFields>
  <rowFields count="1">
    <field x="4"/>
  </rowFields>
  <rowItems count="5">
    <i>
      <x/>
    </i>
    <i>
      <x v="1"/>
    </i>
    <i>
      <x v="2"/>
    </i>
    <i>
      <x v="3"/>
    </i>
    <i t="grand">
      <x/>
    </i>
  </rowItems>
  <colFields count="1">
    <field x="8"/>
  </colFields>
  <colItems count="3">
    <i>
      <x/>
    </i>
    <i>
      <x v="1"/>
    </i>
    <i t="grand">
      <x/>
    </i>
  </colItems>
  <dataFields count="1">
    <dataField name="Count of EmployeeID" fld="0" subtotal="count" baseField="0" baseItem="0"/>
  </dataFields>
  <chartFormats count="2">
    <chartFormat chart="11" format="4" series="1">
      <pivotArea type="data" outline="0" fieldPosition="0">
        <references count="2">
          <reference field="4294967294" count="1" selected="0">
            <x v="0"/>
          </reference>
          <reference field="8" count="1" selected="0">
            <x v="0"/>
          </reference>
        </references>
      </pivotArea>
    </chartFormat>
    <chartFormat chart="11" format="5" series="1">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13414535-DB4F-434F-976E-3718C0E25145}" sourceName="Gender">
  <pivotTables>
    <pivotTable tabId="7" name="PivotTable5"/>
    <pivotTable tabId="7" name="PivotTable1"/>
    <pivotTable tabId="7" name="PivotTable2"/>
    <pivotTable tabId="7" name="PivotTable3"/>
    <pivotTable tabId="7" name="PivotTable4"/>
    <pivotTable tabId="7" name="PivotTable6"/>
    <pivotTable tabId="7" name="PivotTable7"/>
    <pivotTable tabId="7" name="PivotTable8"/>
    <pivotTable tabId="6" name="PivotTable6"/>
    <pivotTable tabId="6" name="PivotTable7"/>
    <pivotTable tabId="6" name="PivotTable8"/>
    <pivotTable tabId="6" name="PivotTable9"/>
    <pivotTable tabId="7" name="PivotTable9"/>
  </pivotTables>
  <data>
    <tabular pivotCacheId="1390868007">
      <items count="2">
        <i x="0"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BFEC023D-BE6F-497F-B1FC-4AA1F615A0A7}" sourceName="Department">
  <pivotTables>
    <pivotTable tabId="7" name="PivotTable1"/>
    <pivotTable tabId="7" name="PivotTable2"/>
    <pivotTable tabId="7" name="PivotTable3"/>
    <pivotTable tabId="7" name="PivotTable4"/>
    <pivotTable tabId="7" name="PivotTable5"/>
    <pivotTable tabId="7" name="PivotTable6"/>
    <pivotTable tabId="7" name="PivotTable7"/>
    <pivotTable tabId="7" name="PivotTable8"/>
    <pivotTable tabId="6" name="PivotTable6"/>
    <pivotTable tabId="6" name="PivotTable7"/>
    <pivotTable tabId="6" name="PivotTable8"/>
    <pivotTable tabId="6" name="PivotTable9"/>
    <pivotTable tabId="7" name="PivotTable9"/>
  </pivotTables>
  <data>
    <tabular pivotCacheId="1390868007">
      <items count="5">
        <i x="0" s="1"/>
        <i x="3" s="1"/>
        <i x="1" s="1"/>
        <i x="4" s="1"/>
        <i x="2"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A321583B-622E-4C04-90AD-F86415242C6A}" cache="Slicer_Gender" caption="Gender" columnCount="2" style="Slicer Style 1" rowHeight="234950"/>
  <slicer name="Department" xr10:uid="{89555105-9DE5-441A-BA95-33D1ACED2AF8}" cache="Slicer_Department" caption="Department" columnCount="4" style="Slicer Style 1" rowHeight="252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3A3E894-1D36-4DEE-B82F-76763CBC8914}" name="Table1" displayName="Table1" ref="A1:J201" totalsRowShown="0" headerRowDxfId="13" dataDxfId="11" headerRowBorderDxfId="12" tableBorderDxfId="10">
  <autoFilter ref="A1:J201" xr:uid="{83A3E894-1D36-4DEE-B82F-76763CBC8914}"/>
  <tableColumns count="10">
    <tableColumn id="1" xr3:uid="{505E3E22-5A95-4222-BAA1-D0E532BDA8A0}" name="EmployeeID" dataDxfId="9"/>
    <tableColumn id="2" xr3:uid="{82E24B10-1B73-4FA1-9A30-2839AE21692E}" name="Age" dataDxfId="8"/>
    <tableColumn id="3" xr3:uid="{F413353A-2AE2-4701-A7B0-DCF93B944DAE}" name="AgeGroup" dataDxfId="7"/>
    <tableColumn id="4" xr3:uid="{38D36FE0-81A0-49CD-B071-7F91333659AF}" name="Gender" dataDxfId="6"/>
    <tableColumn id="5" xr3:uid="{8A0F9131-72C0-47E4-98CB-692D0416CB00}" name="Education" dataDxfId="5"/>
    <tableColumn id="6" xr3:uid="{E591D8F4-BBC0-40D5-A34B-FECE97CE9496}" name="Department" dataDxfId="4"/>
    <tableColumn id="7" xr3:uid="{8E6A5509-58F1-4F77-A7AF-659DBC058637}" name="JobRole" dataDxfId="3"/>
    <tableColumn id="8" xr3:uid="{AD118A1D-0E89-4BFC-803B-49A628DCFDE8}" name="MaritalStatus" dataDxfId="2"/>
    <tableColumn id="9" xr3:uid="{33191346-EA80-4399-AF97-9C304607B8E7}" name="Attrition" dataDxfId="1"/>
    <tableColumn id="10" xr3:uid="{3BF1BF06-AAD2-4020-8BFE-DA07CF9DB50C}" name="Salary"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2.xml"/><Relationship Id="rId3" Type="http://schemas.openxmlformats.org/officeDocument/2006/relationships/pivotTable" Target="../pivotTables/pivotTable7.xml"/><Relationship Id="rId7" Type="http://schemas.openxmlformats.org/officeDocument/2006/relationships/pivotTable" Target="../pivotTables/pivotTable11.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ivotTable" Target="../pivotTables/pivotTable10.xml"/><Relationship Id="rId5" Type="http://schemas.openxmlformats.org/officeDocument/2006/relationships/pivotTable" Target="../pivotTables/pivotTable9.xml"/><Relationship Id="rId4" Type="http://schemas.openxmlformats.org/officeDocument/2006/relationships/pivotTable" Target="../pivotTables/pivotTable8.xml"/><Relationship Id="rId9" Type="http://schemas.openxmlformats.org/officeDocument/2006/relationships/pivotTable" Target="../pivotTables/pivotTable1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2704E-F70E-41A1-B6E5-9DBBCE8CFD3E}">
  <sheetPr codeName="Sheet3"/>
  <dimension ref="A1:L18"/>
  <sheetViews>
    <sheetView topLeftCell="A2" workbookViewId="0">
      <selection activeCell="C15" sqref="C15"/>
    </sheetView>
  </sheetViews>
  <sheetFormatPr defaultRowHeight="14.4" x14ac:dyDescent="0.3"/>
  <cols>
    <col min="1" max="1" width="15.88671875" bestFit="1" customWidth="1"/>
    <col min="2" max="2" width="6" bestFit="1" customWidth="1"/>
    <col min="4" max="4" width="19.109375" bestFit="1" customWidth="1"/>
    <col min="5" max="5" width="6.33203125" bestFit="1" customWidth="1"/>
    <col min="7" max="7" width="23.88671875" bestFit="1" customWidth="1"/>
    <col min="8" max="8" width="5.6640625" bestFit="1" customWidth="1"/>
    <col min="10" max="10" width="13.88671875" bestFit="1" customWidth="1"/>
    <col min="12" max="12" width="17.33203125" customWidth="1"/>
  </cols>
  <sheetData>
    <row r="1" spans="1:12" x14ac:dyDescent="0.3">
      <c r="A1" s="4" t="s">
        <v>0</v>
      </c>
      <c r="B1" t="s">
        <v>1</v>
      </c>
      <c r="D1" s="4" t="s">
        <v>0</v>
      </c>
      <c r="E1" t="s">
        <v>2</v>
      </c>
      <c r="G1" s="4" t="s">
        <v>0</v>
      </c>
      <c r="H1" t="s">
        <v>3</v>
      </c>
    </row>
    <row r="3" spans="1:12" x14ac:dyDescent="0.3">
      <c r="A3" t="s">
        <v>4</v>
      </c>
      <c r="D3" t="s">
        <v>5</v>
      </c>
      <c r="G3" t="s">
        <v>6</v>
      </c>
      <c r="J3" t="s">
        <v>7</v>
      </c>
      <c r="L3" s="3" t="s">
        <v>8</v>
      </c>
    </row>
    <row r="4" spans="1:12" x14ac:dyDescent="0.3">
      <c r="A4" s="22">
        <v>54</v>
      </c>
      <c r="D4" s="22">
        <v>200</v>
      </c>
      <c r="G4" s="22">
        <v>146</v>
      </c>
      <c r="J4" s="5">
        <v>40.17</v>
      </c>
      <c r="L4" s="6">
        <f>A4/D4</f>
        <v>0.27</v>
      </c>
    </row>
    <row r="5" spans="1:12" x14ac:dyDescent="0.3">
      <c r="G5" s="10">
        <f>GETPIVOTDATA("Attrition",$G$3)</f>
        <v>146</v>
      </c>
      <c r="J5" s="5">
        <f>GETPIVOTDATA("Age",$J$3)</f>
        <v>40.17</v>
      </c>
    </row>
    <row r="6" spans="1:12" x14ac:dyDescent="0.3">
      <c r="A6">
        <f>GETPIVOTDATA("Attrition",$A$3)</f>
        <v>54</v>
      </c>
      <c r="D6">
        <f>GETPIVOTDATA("EmployeeID",$D$3)</f>
        <v>200</v>
      </c>
      <c r="L6" s="9">
        <f>L4</f>
        <v>0.27</v>
      </c>
    </row>
    <row r="9" spans="1:12" x14ac:dyDescent="0.3">
      <c r="G9" s="7" t="s">
        <v>9</v>
      </c>
    </row>
    <row r="10" spans="1:12" x14ac:dyDescent="0.3">
      <c r="G10" s="7" t="s">
        <v>10</v>
      </c>
    </row>
    <row r="11" spans="1:12" x14ac:dyDescent="0.3">
      <c r="G11" s="7" t="s">
        <v>11</v>
      </c>
    </row>
    <row r="12" spans="1:12" x14ac:dyDescent="0.3">
      <c r="G12" s="7" t="s">
        <v>12</v>
      </c>
    </row>
    <row r="13" spans="1:12" x14ac:dyDescent="0.3">
      <c r="G13" s="7" t="s">
        <v>13</v>
      </c>
    </row>
    <row r="14" spans="1:12" x14ac:dyDescent="0.3">
      <c r="G14" s="7" t="s">
        <v>14</v>
      </c>
    </row>
    <row r="15" spans="1:12" x14ac:dyDescent="0.3">
      <c r="G15" s="7" t="s">
        <v>15</v>
      </c>
    </row>
    <row r="16" spans="1:12" ht="28.8" x14ac:dyDescent="0.3">
      <c r="G16" s="7" t="s">
        <v>16</v>
      </c>
    </row>
    <row r="17" spans="7:7" x14ac:dyDescent="0.3">
      <c r="G17" s="7"/>
    </row>
    <row r="18" spans="7:7" x14ac:dyDescent="0.3">
      <c r="G18" s="7"/>
    </row>
  </sheetData>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2B40F6-656A-4FF4-833B-1FF72615DF8B}">
  <sheetPr codeName="Sheet1"/>
  <dimension ref="A1"/>
  <sheetViews>
    <sheetView showGridLines="0" tabSelected="1" topLeftCell="A40" zoomScale="80" zoomScaleNormal="80" workbookViewId="0">
      <selection activeCell="AC41" sqref="AC41"/>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F96EE-063E-46E2-8EFE-7A25462FDAA7}">
  <sheetPr codeName="Sheet2"/>
  <dimension ref="B1:P31"/>
  <sheetViews>
    <sheetView showGridLines="0" topLeftCell="A25" workbookViewId="0">
      <selection activeCell="C33" sqref="C33"/>
    </sheetView>
  </sheetViews>
  <sheetFormatPr defaultRowHeight="14.4" x14ac:dyDescent="0.3"/>
  <cols>
    <col min="2" max="2" width="13.33203125" bestFit="1" customWidth="1"/>
    <col min="3" max="3" width="15.77734375" bestFit="1" customWidth="1"/>
    <col min="4" max="4" width="12.44140625" bestFit="1" customWidth="1"/>
    <col min="5" max="5" width="12.109375" bestFit="1" customWidth="1"/>
    <col min="6" max="6" width="10.21875" bestFit="1" customWidth="1"/>
    <col min="7" max="7" width="19.109375" bestFit="1" customWidth="1"/>
    <col min="8" max="9" width="10.21875" bestFit="1" customWidth="1"/>
    <col min="10" max="10" width="10.77734375" bestFit="1" customWidth="1"/>
    <col min="11" max="11" width="15.77734375" bestFit="1" customWidth="1"/>
    <col min="12" max="13" width="19.109375" bestFit="1" customWidth="1"/>
    <col min="14" max="14" width="10.21875" bestFit="1" customWidth="1"/>
    <col min="15" max="15" width="3.77734375" bestFit="1" customWidth="1"/>
    <col min="16" max="16" width="10.77734375" bestFit="1" customWidth="1"/>
    <col min="17" max="17" width="9.44140625" bestFit="1" customWidth="1"/>
    <col min="18" max="18" width="8.88671875" bestFit="1" customWidth="1"/>
    <col min="19" max="19" width="10.33203125" bestFit="1" customWidth="1"/>
    <col min="20" max="21" width="7.5546875" bestFit="1" customWidth="1"/>
    <col min="22" max="22" width="8.6640625" bestFit="1" customWidth="1"/>
    <col min="23" max="23" width="9.44140625" bestFit="1" customWidth="1"/>
    <col min="24" max="24" width="8.88671875" bestFit="1" customWidth="1"/>
    <col min="25" max="25" width="10.33203125" bestFit="1" customWidth="1"/>
    <col min="26" max="26" width="10" bestFit="1" customWidth="1"/>
    <col min="27" max="27" width="7.5546875" bestFit="1" customWidth="1"/>
    <col min="28" max="28" width="8.6640625" bestFit="1" customWidth="1"/>
    <col min="29" max="29" width="9.44140625" bestFit="1" customWidth="1"/>
    <col min="30" max="30" width="8.88671875" bestFit="1" customWidth="1"/>
    <col min="31" max="31" width="10.33203125" bestFit="1" customWidth="1"/>
    <col min="32" max="32" width="10.44140625" bestFit="1" customWidth="1"/>
    <col min="33" max="33" width="11.44140625" bestFit="1" customWidth="1"/>
    <col min="34" max="154" width="6.33203125" bestFit="1" customWidth="1"/>
    <col min="155" max="201" width="7.44140625" bestFit="1" customWidth="1"/>
    <col min="202" max="202" width="11.44140625" bestFit="1" customWidth="1"/>
    <col min="203" max="212" width="9.33203125" bestFit="1" customWidth="1"/>
    <col min="213" max="213" width="11.44140625" bestFit="1" customWidth="1"/>
  </cols>
  <sheetData>
    <row r="1" spans="2:16" ht="21" customHeight="1" x14ac:dyDescent="0.3">
      <c r="B1" s="4" t="s">
        <v>0</v>
      </c>
      <c r="C1" t="s">
        <v>2</v>
      </c>
      <c r="E1" s="16" t="s">
        <v>10</v>
      </c>
      <c r="F1" s="17"/>
      <c r="G1" s="17"/>
      <c r="H1" s="18"/>
      <c r="M1" s="19" t="s">
        <v>12</v>
      </c>
      <c r="N1" s="20"/>
      <c r="O1" s="20"/>
      <c r="P1" s="21"/>
    </row>
    <row r="2" spans="2:16" ht="30.75" customHeight="1" x14ac:dyDescent="0.3">
      <c r="B2" s="11" t="s">
        <v>9</v>
      </c>
      <c r="C2" s="12"/>
      <c r="E2" s="4" t="s">
        <v>5</v>
      </c>
      <c r="F2" s="4" t="s">
        <v>0</v>
      </c>
      <c r="J2" s="13" t="s">
        <v>11</v>
      </c>
      <c r="K2" s="15"/>
      <c r="M2" s="4" t="s">
        <v>5</v>
      </c>
      <c r="N2" s="4" t="s">
        <v>0</v>
      </c>
    </row>
    <row r="3" spans="2:16" x14ac:dyDescent="0.3">
      <c r="B3" s="4" t="s">
        <v>17</v>
      </c>
      <c r="C3" t="s">
        <v>5</v>
      </c>
      <c r="E3" s="4" t="s">
        <v>18</v>
      </c>
      <c r="F3" t="s">
        <v>3</v>
      </c>
      <c r="G3" t="s">
        <v>1</v>
      </c>
      <c r="H3" t="s">
        <v>19</v>
      </c>
      <c r="J3" s="4" t="s">
        <v>0</v>
      </c>
      <c r="K3" t="s">
        <v>20</v>
      </c>
      <c r="M3" s="4" t="s">
        <v>21</v>
      </c>
      <c r="N3" t="s">
        <v>3</v>
      </c>
      <c r="O3" t="s">
        <v>1</v>
      </c>
    </row>
    <row r="4" spans="2:16" x14ac:dyDescent="0.3">
      <c r="B4" t="s">
        <v>22</v>
      </c>
      <c r="C4" s="5">
        <v>32</v>
      </c>
      <c r="E4" t="s">
        <v>23</v>
      </c>
      <c r="F4" s="22">
        <v>32</v>
      </c>
      <c r="G4" s="22">
        <v>10</v>
      </c>
      <c r="H4" s="22">
        <v>42</v>
      </c>
      <c r="J4" t="s">
        <v>3</v>
      </c>
      <c r="K4" s="8">
        <v>75432.938356164377</v>
      </c>
      <c r="M4" t="s">
        <v>24</v>
      </c>
      <c r="N4" s="22">
        <v>32</v>
      </c>
      <c r="O4" s="22">
        <v>17</v>
      </c>
    </row>
    <row r="5" spans="2:16" x14ac:dyDescent="0.3">
      <c r="B5" t="s">
        <v>25</v>
      </c>
      <c r="C5" s="5">
        <v>43</v>
      </c>
      <c r="E5" t="s">
        <v>26</v>
      </c>
      <c r="F5" s="22">
        <v>29</v>
      </c>
      <c r="G5" s="22">
        <v>13</v>
      </c>
      <c r="H5" s="22">
        <v>42</v>
      </c>
      <c r="J5" t="s">
        <v>1</v>
      </c>
      <c r="K5" s="8">
        <v>71885.944444444438</v>
      </c>
      <c r="M5" t="s">
        <v>27</v>
      </c>
      <c r="N5" s="22">
        <v>32</v>
      </c>
      <c r="O5" s="22">
        <v>13</v>
      </c>
    </row>
    <row r="6" spans="2:16" x14ac:dyDescent="0.3">
      <c r="B6" t="s">
        <v>28</v>
      </c>
      <c r="C6" s="5">
        <v>40</v>
      </c>
      <c r="E6" t="s">
        <v>29</v>
      </c>
      <c r="F6" s="22">
        <v>26</v>
      </c>
      <c r="G6" s="22">
        <v>10</v>
      </c>
      <c r="H6" s="22">
        <v>36</v>
      </c>
      <c r="J6" t="s">
        <v>19</v>
      </c>
      <c r="K6" s="22">
        <v>74475.25</v>
      </c>
      <c r="M6" t="s">
        <v>30</v>
      </c>
      <c r="N6" s="22">
        <v>45</v>
      </c>
      <c r="O6" s="22">
        <v>12</v>
      </c>
    </row>
    <row r="7" spans="2:16" x14ac:dyDescent="0.3">
      <c r="B7" t="s">
        <v>31</v>
      </c>
      <c r="C7" s="5">
        <v>42</v>
      </c>
      <c r="E7" t="s">
        <v>32</v>
      </c>
      <c r="F7" s="22">
        <v>31</v>
      </c>
      <c r="G7" s="22">
        <v>9</v>
      </c>
      <c r="H7" s="22">
        <v>40</v>
      </c>
      <c r="M7" t="s">
        <v>33</v>
      </c>
      <c r="N7" s="22">
        <v>37</v>
      </c>
      <c r="O7" s="22">
        <v>12</v>
      </c>
    </row>
    <row r="8" spans="2:16" x14ac:dyDescent="0.3">
      <c r="B8" t="s">
        <v>34</v>
      </c>
      <c r="C8" s="5">
        <v>43</v>
      </c>
      <c r="E8" t="s">
        <v>35</v>
      </c>
      <c r="F8" s="22">
        <v>28</v>
      </c>
      <c r="G8" s="22">
        <v>12</v>
      </c>
      <c r="H8" s="22">
        <v>40</v>
      </c>
    </row>
    <row r="9" spans="2:16" x14ac:dyDescent="0.3">
      <c r="B9" t="s">
        <v>19</v>
      </c>
      <c r="C9" s="5">
        <v>200</v>
      </c>
      <c r="E9" t="s">
        <v>19</v>
      </c>
      <c r="F9" s="22">
        <v>146</v>
      </c>
      <c r="G9" s="22">
        <v>54</v>
      </c>
      <c r="H9" s="22">
        <v>200</v>
      </c>
    </row>
    <row r="11" spans="2:16" ht="30.75" customHeight="1" x14ac:dyDescent="0.3">
      <c r="L11" s="13" t="s">
        <v>15</v>
      </c>
      <c r="M11" s="14"/>
      <c r="N11" s="14"/>
      <c r="O11" s="15"/>
    </row>
    <row r="12" spans="2:16" ht="30.75" customHeight="1" x14ac:dyDescent="0.3">
      <c r="B12" s="19" t="s">
        <v>13</v>
      </c>
      <c r="C12" s="20"/>
      <c r="D12" s="20"/>
      <c r="E12" s="21"/>
      <c r="G12" s="13" t="s">
        <v>14</v>
      </c>
      <c r="H12" s="14"/>
      <c r="I12" s="14"/>
      <c r="J12" s="15"/>
      <c r="L12" s="4" t="s">
        <v>5</v>
      </c>
      <c r="M12" s="4" t="s">
        <v>0</v>
      </c>
    </row>
    <row r="13" spans="2:16" x14ac:dyDescent="0.3">
      <c r="B13" s="4" t="s">
        <v>5</v>
      </c>
      <c r="C13" s="4" t="s">
        <v>0</v>
      </c>
      <c r="G13" s="4" t="s">
        <v>5</v>
      </c>
      <c r="H13" s="4" t="s">
        <v>0</v>
      </c>
      <c r="L13" s="4" t="s">
        <v>36</v>
      </c>
      <c r="M13" t="s">
        <v>3</v>
      </c>
      <c r="N13" t="s">
        <v>1</v>
      </c>
      <c r="O13" t="s">
        <v>19</v>
      </c>
    </row>
    <row r="14" spans="2:16" x14ac:dyDescent="0.3">
      <c r="B14" s="4" t="s">
        <v>37</v>
      </c>
      <c r="C14" t="s">
        <v>3</v>
      </c>
      <c r="D14" t="s">
        <v>1</v>
      </c>
      <c r="E14" t="s">
        <v>19</v>
      </c>
      <c r="G14" s="4" t="s">
        <v>38</v>
      </c>
      <c r="H14" t="s">
        <v>3</v>
      </c>
      <c r="I14" t="s">
        <v>1</v>
      </c>
      <c r="J14" t="s">
        <v>19</v>
      </c>
      <c r="L14" t="s">
        <v>39</v>
      </c>
      <c r="M14" s="22">
        <v>53</v>
      </c>
      <c r="N14" s="22">
        <v>18</v>
      </c>
      <c r="O14" s="22">
        <v>71</v>
      </c>
    </row>
    <row r="15" spans="2:16" x14ac:dyDescent="0.3">
      <c r="B15" t="s">
        <v>40</v>
      </c>
      <c r="C15" s="22">
        <v>82</v>
      </c>
      <c r="D15" s="22">
        <v>25</v>
      </c>
      <c r="E15" s="22">
        <v>107</v>
      </c>
      <c r="G15" t="s">
        <v>41</v>
      </c>
      <c r="H15" s="22">
        <v>60</v>
      </c>
      <c r="I15" s="22">
        <v>23</v>
      </c>
      <c r="J15" s="22">
        <v>83</v>
      </c>
      <c r="L15" t="s">
        <v>42</v>
      </c>
      <c r="M15" s="22">
        <v>47</v>
      </c>
      <c r="N15" s="22">
        <v>16</v>
      </c>
      <c r="O15" s="22">
        <v>63</v>
      </c>
    </row>
    <row r="16" spans="2:16" x14ac:dyDescent="0.3">
      <c r="B16" t="s">
        <v>43</v>
      </c>
      <c r="C16" s="22">
        <v>64</v>
      </c>
      <c r="D16" s="22">
        <v>29</v>
      </c>
      <c r="E16" s="22">
        <v>93</v>
      </c>
      <c r="G16" t="s">
        <v>44</v>
      </c>
      <c r="H16" s="22">
        <v>29</v>
      </c>
      <c r="I16" s="22">
        <v>8</v>
      </c>
      <c r="J16" s="22">
        <v>37</v>
      </c>
      <c r="L16" t="s">
        <v>45</v>
      </c>
      <c r="M16" s="22">
        <v>46</v>
      </c>
      <c r="N16" s="22">
        <v>20</v>
      </c>
      <c r="O16" s="22">
        <v>66</v>
      </c>
    </row>
    <row r="17" spans="2:15" x14ac:dyDescent="0.3">
      <c r="B17" t="s">
        <v>19</v>
      </c>
      <c r="C17" s="22">
        <v>146</v>
      </c>
      <c r="D17" s="22">
        <v>54</v>
      </c>
      <c r="E17" s="22">
        <v>200</v>
      </c>
      <c r="G17" t="s">
        <v>46</v>
      </c>
      <c r="H17" s="22">
        <v>41</v>
      </c>
      <c r="I17" s="22">
        <v>16</v>
      </c>
      <c r="J17" s="22">
        <v>57</v>
      </c>
      <c r="L17" t="s">
        <v>19</v>
      </c>
      <c r="M17" s="22">
        <v>146</v>
      </c>
      <c r="N17" s="22">
        <v>54</v>
      </c>
      <c r="O17" s="22">
        <v>200</v>
      </c>
    </row>
    <row r="18" spans="2:15" x14ac:dyDescent="0.3">
      <c r="G18" t="s">
        <v>47</v>
      </c>
      <c r="H18" s="22">
        <v>16</v>
      </c>
      <c r="I18" s="22">
        <v>7</v>
      </c>
      <c r="J18" s="22">
        <v>23</v>
      </c>
    </row>
    <row r="19" spans="2:15" x14ac:dyDescent="0.3">
      <c r="G19" t="s">
        <v>19</v>
      </c>
      <c r="H19" s="22">
        <v>146</v>
      </c>
      <c r="I19" s="22">
        <v>54</v>
      </c>
      <c r="J19" s="22">
        <v>200</v>
      </c>
    </row>
    <row r="21" spans="2:15" ht="45.75" customHeight="1" x14ac:dyDescent="0.3">
      <c r="B21" s="13" t="s">
        <v>48</v>
      </c>
      <c r="C21" s="14"/>
      <c r="D21" s="14"/>
      <c r="E21" s="15"/>
    </row>
    <row r="22" spans="2:15" x14ac:dyDescent="0.3">
      <c r="B22" s="4" t="s">
        <v>17</v>
      </c>
      <c r="C22" t="s">
        <v>20</v>
      </c>
      <c r="D22" t="s">
        <v>49</v>
      </c>
      <c r="E22" t="s">
        <v>50</v>
      </c>
    </row>
    <row r="23" spans="2:15" x14ac:dyDescent="0.3">
      <c r="B23" t="s">
        <v>22</v>
      </c>
      <c r="C23" s="5">
        <v>76482.40625</v>
      </c>
      <c r="D23" s="22">
        <v>119186</v>
      </c>
      <c r="E23" s="22">
        <v>32396</v>
      </c>
    </row>
    <row r="24" spans="2:15" x14ac:dyDescent="0.3">
      <c r="B24" t="s">
        <v>25</v>
      </c>
      <c r="C24" s="5">
        <v>72215.558139534885</v>
      </c>
      <c r="D24" s="22">
        <v>116231</v>
      </c>
      <c r="E24" s="22">
        <v>31591</v>
      </c>
    </row>
    <row r="25" spans="2:15" x14ac:dyDescent="0.3">
      <c r="B25" t="s">
        <v>28</v>
      </c>
      <c r="C25" s="5">
        <v>74573.3</v>
      </c>
      <c r="D25" s="22">
        <v>117266</v>
      </c>
      <c r="E25" s="22">
        <v>31980</v>
      </c>
    </row>
    <row r="26" spans="2:15" x14ac:dyDescent="0.3">
      <c r="B26" t="s">
        <v>31</v>
      </c>
      <c r="C26" s="5">
        <v>73441.28571428571</v>
      </c>
      <c r="D26" s="22">
        <v>115708</v>
      </c>
      <c r="E26" s="22">
        <v>31435</v>
      </c>
    </row>
    <row r="27" spans="2:15" x14ac:dyDescent="0.3">
      <c r="B27" t="s">
        <v>34</v>
      </c>
      <c r="C27" s="5">
        <v>76159.953488372092</v>
      </c>
      <c r="D27" s="22">
        <v>117272</v>
      </c>
      <c r="E27" s="22">
        <v>30526</v>
      </c>
    </row>
    <row r="28" spans="2:15" ht="15" thickBot="1" x14ac:dyDescent="0.35">
      <c r="B28" t="s">
        <v>19</v>
      </c>
      <c r="C28" s="22">
        <v>74475.25</v>
      </c>
      <c r="D28" s="22">
        <v>119186</v>
      </c>
      <c r="E28" s="22">
        <v>30526</v>
      </c>
    </row>
    <row r="29" spans="2:15" ht="16.2" thickBot="1" x14ac:dyDescent="0.35">
      <c r="B29" s="11" t="s">
        <v>9</v>
      </c>
      <c r="C29" s="12"/>
    </row>
    <row r="30" spans="2:15" x14ac:dyDescent="0.3">
      <c r="B30" t="s">
        <v>5</v>
      </c>
    </row>
    <row r="31" spans="2:15" x14ac:dyDescent="0.3">
      <c r="B31" s="5">
        <v>200</v>
      </c>
    </row>
  </sheetData>
  <mergeCells count="9">
    <mergeCell ref="M1:P1"/>
    <mergeCell ref="B12:E12"/>
    <mergeCell ref="G12:J12"/>
    <mergeCell ref="L11:O11"/>
    <mergeCell ref="B29:C29"/>
    <mergeCell ref="B21:E21"/>
    <mergeCell ref="B2:C2"/>
    <mergeCell ref="E1:H1"/>
    <mergeCell ref="J2:K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J201"/>
  <sheetViews>
    <sheetView workbookViewId="0">
      <selection sqref="A1:J201"/>
    </sheetView>
  </sheetViews>
  <sheetFormatPr defaultColWidth="8.88671875" defaultRowHeight="14.4" x14ac:dyDescent="0.3"/>
  <cols>
    <col min="1" max="1" width="13" style="1" customWidth="1"/>
    <col min="2" max="2" width="6.109375" style="1" customWidth="1"/>
    <col min="3" max="3" width="11.33203125" style="1" customWidth="1"/>
    <col min="4" max="4" width="9" style="1" customWidth="1"/>
    <col min="5" max="5" width="11.33203125" style="1" customWidth="1"/>
    <col min="6" max="6" width="13" style="1" customWidth="1"/>
    <col min="7" max="7" width="9.6640625" style="1" bestFit="1" customWidth="1"/>
    <col min="8" max="8" width="14.109375" style="1" customWidth="1"/>
    <col min="9" max="9" width="9.88671875" style="1" customWidth="1"/>
    <col min="10" max="10" width="11.33203125" style="1" customWidth="1"/>
    <col min="11" max="16384" width="8.88671875" style="1"/>
  </cols>
  <sheetData>
    <row r="1" spans="1:10" x14ac:dyDescent="0.3">
      <c r="A1" s="2" t="s">
        <v>51</v>
      </c>
      <c r="B1" s="2" t="s">
        <v>52</v>
      </c>
      <c r="C1" s="2" t="s">
        <v>21</v>
      </c>
      <c r="D1" s="2" t="s">
        <v>37</v>
      </c>
      <c r="E1" s="2" t="s">
        <v>38</v>
      </c>
      <c r="F1" s="2" t="s">
        <v>17</v>
      </c>
      <c r="G1" s="2" t="s">
        <v>18</v>
      </c>
      <c r="H1" s="2" t="s">
        <v>36</v>
      </c>
      <c r="I1" s="2" t="s">
        <v>0</v>
      </c>
      <c r="J1" s="2" t="s">
        <v>53</v>
      </c>
    </row>
    <row r="2" spans="1:10" x14ac:dyDescent="0.3">
      <c r="A2" s="1" t="s">
        <v>54</v>
      </c>
      <c r="B2" s="1">
        <v>50</v>
      </c>
      <c r="C2" s="1" t="s">
        <v>33</v>
      </c>
      <c r="D2" s="1" t="s">
        <v>40</v>
      </c>
      <c r="E2" s="1" t="s">
        <v>44</v>
      </c>
      <c r="F2" s="1" t="s">
        <v>22</v>
      </c>
      <c r="G2" s="1" t="s">
        <v>35</v>
      </c>
      <c r="H2" s="1" t="s">
        <v>45</v>
      </c>
      <c r="I2" s="1" t="s">
        <v>3</v>
      </c>
      <c r="J2" s="1">
        <v>55559</v>
      </c>
    </row>
    <row r="3" spans="1:10" x14ac:dyDescent="0.3">
      <c r="A3" s="1" t="s">
        <v>55</v>
      </c>
      <c r="B3" s="1">
        <v>36</v>
      </c>
      <c r="C3" s="1" t="s">
        <v>27</v>
      </c>
      <c r="D3" s="1" t="s">
        <v>40</v>
      </c>
      <c r="E3" s="1" t="s">
        <v>44</v>
      </c>
      <c r="F3" s="1" t="s">
        <v>28</v>
      </c>
      <c r="G3" s="1" t="s">
        <v>29</v>
      </c>
      <c r="H3" s="1" t="s">
        <v>45</v>
      </c>
      <c r="I3" s="1" t="s">
        <v>3</v>
      </c>
      <c r="J3" s="1">
        <v>63742</v>
      </c>
    </row>
    <row r="4" spans="1:10" x14ac:dyDescent="0.3">
      <c r="A4" s="1" t="s">
        <v>56</v>
      </c>
      <c r="B4" s="1">
        <v>29</v>
      </c>
      <c r="C4" s="1" t="s">
        <v>24</v>
      </c>
      <c r="D4" s="1" t="s">
        <v>43</v>
      </c>
      <c r="E4" s="1" t="s">
        <v>41</v>
      </c>
      <c r="F4" s="1" t="s">
        <v>28</v>
      </c>
      <c r="G4" s="1" t="s">
        <v>29</v>
      </c>
      <c r="H4" s="1" t="s">
        <v>39</v>
      </c>
      <c r="I4" s="1" t="s">
        <v>3</v>
      </c>
      <c r="J4" s="1">
        <v>99669</v>
      </c>
    </row>
    <row r="5" spans="1:10" x14ac:dyDescent="0.3">
      <c r="A5" s="1" t="s">
        <v>57</v>
      </c>
      <c r="B5" s="1">
        <v>42</v>
      </c>
      <c r="C5" s="1" t="s">
        <v>30</v>
      </c>
      <c r="D5" s="1" t="s">
        <v>40</v>
      </c>
      <c r="E5" s="1" t="s">
        <v>44</v>
      </c>
      <c r="F5" s="1" t="s">
        <v>22</v>
      </c>
      <c r="G5" s="1" t="s">
        <v>23</v>
      </c>
      <c r="H5" s="1" t="s">
        <v>42</v>
      </c>
      <c r="I5" s="1" t="s">
        <v>3</v>
      </c>
      <c r="J5" s="1">
        <v>110199</v>
      </c>
    </row>
    <row r="6" spans="1:10" x14ac:dyDescent="0.3">
      <c r="A6" s="1" t="s">
        <v>58</v>
      </c>
      <c r="B6" s="1">
        <v>40</v>
      </c>
      <c r="C6" s="1" t="s">
        <v>30</v>
      </c>
      <c r="D6" s="1" t="s">
        <v>40</v>
      </c>
      <c r="E6" s="1" t="s">
        <v>46</v>
      </c>
      <c r="F6" s="1" t="s">
        <v>34</v>
      </c>
      <c r="G6" s="1" t="s">
        <v>23</v>
      </c>
      <c r="H6" s="1" t="s">
        <v>45</v>
      </c>
      <c r="I6" s="1" t="s">
        <v>3</v>
      </c>
      <c r="J6" s="1">
        <v>51754</v>
      </c>
    </row>
    <row r="7" spans="1:10" x14ac:dyDescent="0.3">
      <c r="A7" s="1" t="s">
        <v>59</v>
      </c>
      <c r="B7" s="1">
        <v>44</v>
      </c>
      <c r="C7" s="1" t="s">
        <v>30</v>
      </c>
      <c r="D7" s="1" t="s">
        <v>43</v>
      </c>
      <c r="E7" s="1" t="s">
        <v>44</v>
      </c>
      <c r="F7" s="1" t="s">
        <v>25</v>
      </c>
      <c r="G7" s="1" t="s">
        <v>32</v>
      </c>
      <c r="H7" s="1" t="s">
        <v>39</v>
      </c>
      <c r="I7" s="1" t="s">
        <v>3</v>
      </c>
      <c r="J7" s="1">
        <v>33972</v>
      </c>
    </row>
    <row r="8" spans="1:10" x14ac:dyDescent="0.3">
      <c r="A8" s="1" t="s">
        <v>60</v>
      </c>
      <c r="B8" s="1">
        <v>32</v>
      </c>
      <c r="C8" s="1" t="s">
        <v>27</v>
      </c>
      <c r="D8" s="1" t="s">
        <v>43</v>
      </c>
      <c r="E8" s="1" t="s">
        <v>41</v>
      </c>
      <c r="F8" s="1" t="s">
        <v>34</v>
      </c>
      <c r="G8" s="1" t="s">
        <v>35</v>
      </c>
      <c r="H8" s="1" t="s">
        <v>42</v>
      </c>
      <c r="I8" s="1" t="s">
        <v>3</v>
      </c>
      <c r="J8" s="1">
        <v>100831</v>
      </c>
    </row>
    <row r="9" spans="1:10" x14ac:dyDescent="0.3">
      <c r="A9" s="1" t="s">
        <v>61</v>
      </c>
      <c r="B9" s="1">
        <v>32</v>
      </c>
      <c r="C9" s="1" t="s">
        <v>27</v>
      </c>
      <c r="D9" s="1" t="s">
        <v>40</v>
      </c>
      <c r="E9" s="1" t="s">
        <v>41</v>
      </c>
      <c r="F9" s="1" t="s">
        <v>34</v>
      </c>
      <c r="G9" s="1" t="s">
        <v>26</v>
      </c>
      <c r="H9" s="1" t="s">
        <v>45</v>
      </c>
      <c r="I9" s="1" t="s">
        <v>1</v>
      </c>
      <c r="J9" s="1">
        <v>71873</v>
      </c>
    </row>
    <row r="10" spans="1:10" x14ac:dyDescent="0.3">
      <c r="A10" s="1" t="s">
        <v>62</v>
      </c>
      <c r="B10" s="1">
        <v>45</v>
      </c>
      <c r="C10" s="1" t="s">
        <v>30</v>
      </c>
      <c r="D10" s="1" t="s">
        <v>43</v>
      </c>
      <c r="E10" s="1" t="s">
        <v>46</v>
      </c>
      <c r="F10" s="1" t="s">
        <v>34</v>
      </c>
      <c r="G10" s="1" t="s">
        <v>29</v>
      </c>
      <c r="H10" s="1" t="s">
        <v>42</v>
      </c>
      <c r="I10" s="1" t="s">
        <v>3</v>
      </c>
      <c r="J10" s="1">
        <v>39903</v>
      </c>
    </row>
    <row r="11" spans="1:10" x14ac:dyDescent="0.3">
      <c r="A11" s="1" t="s">
        <v>63</v>
      </c>
      <c r="B11" s="1">
        <v>57</v>
      </c>
      <c r="C11" s="1" t="s">
        <v>33</v>
      </c>
      <c r="D11" s="1" t="s">
        <v>43</v>
      </c>
      <c r="E11" s="1" t="s">
        <v>41</v>
      </c>
      <c r="F11" s="1" t="s">
        <v>31</v>
      </c>
      <c r="G11" s="1" t="s">
        <v>32</v>
      </c>
      <c r="H11" s="1" t="s">
        <v>39</v>
      </c>
      <c r="I11" s="1" t="s">
        <v>1</v>
      </c>
      <c r="J11" s="1">
        <v>33020</v>
      </c>
    </row>
    <row r="12" spans="1:10" x14ac:dyDescent="0.3">
      <c r="A12" s="1" t="s">
        <v>64</v>
      </c>
      <c r="B12" s="1">
        <v>45</v>
      </c>
      <c r="C12" s="1" t="s">
        <v>30</v>
      </c>
      <c r="D12" s="1" t="s">
        <v>40</v>
      </c>
      <c r="E12" s="1" t="s">
        <v>44</v>
      </c>
      <c r="F12" s="1" t="s">
        <v>28</v>
      </c>
      <c r="G12" s="1" t="s">
        <v>32</v>
      </c>
      <c r="H12" s="1" t="s">
        <v>45</v>
      </c>
      <c r="I12" s="1" t="s">
        <v>3</v>
      </c>
      <c r="J12" s="1">
        <v>71755</v>
      </c>
    </row>
    <row r="13" spans="1:10" x14ac:dyDescent="0.3">
      <c r="A13" s="1" t="s">
        <v>65</v>
      </c>
      <c r="B13" s="1">
        <v>24</v>
      </c>
      <c r="C13" s="1" t="s">
        <v>24</v>
      </c>
      <c r="D13" s="1" t="s">
        <v>43</v>
      </c>
      <c r="E13" s="1" t="s">
        <v>47</v>
      </c>
      <c r="F13" s="1" t="s">
        <v>34</v>
      </c>
      <c r="G13" s="1" t="s">
        <v>29</v>
      </c>
      <c r="H13" s="1" t="s">
        <v>42</v>
      </c>
      <c r="I13" s="1" t="s">
        <v>1</v>
      </c>
      <c r="J13" s="1">
        <v>115956</v>
      </c>
    </row>
    <row r="14" spans="1:10" x14ac:dyDescent="0.3">
      <c r="A14" s="1" t="s">
        <v>66</v>
      </c>
      <c r="B14" s="1">
        <v>43</v>
      </c>
      <c r="C14" s="1" t="s">
        <v>30</v>
      </c>
      <c r="D14" s="1" t="s">
        <v>43</v>
      </c>
      <c r="E14" s="1" t="s">
        <v>46</v>
      </c>
      <c r="F14" s="1" t="s">
        <v>28</v>
      </c>
      <c r="G14" s="1" t="s">
        <v>26</v>
      </c>
      <c r="H14" s="1" t="s">
        <v>45</v>
      </c>
      <c r="I14" s="1" t="s">
        <v>3</v>
      </c>
      <c r="J14" s="1">
        <v>116988</v>
      </c>
    </row>
    <row r="15" spans="1:10" x14ac:dyDescent="0.3">
      <c r="A15" s="1" t="s">
        <v>67</v>
      </c>
      <c r="B15" s="1">
        <v>23</v>
      </c>
      <c r="C15" s="1" t="s">
        <v>24</v>
      </c>
      <c r="D15" s="1" t="s">
        <v>40</v>
      </c>
      <c r="E15" s="1" t="s">
        <v>46</v>
      </c>
      <c r="F15" s="1" t="s">
        <v>22</v>
      </c>
      <c r="G15" s="1" t="s">
        <v>32</v>
      </c>
      <c r="H15" s="1" t="s">
        <v>42</v>
      </c>
      <c r="I15" s="1" t="s">
        <v>3</v>
      </c>
      <c r="J15" s="1">
        <v>75648</v>
      </c>
    </row>
    <row r="16" spans="1:10" x14ac:dyDescent="0.3">
      <c r="A16" s="1" t="s">
        <v>68</v>
      </c>
      <c r="B16" s="1">
        <v>45</v>
      </c>
      <c r="C16" s="1" t="s">
        <v>30</v>
      </c>
      <c r="D16" s="1" t="s">
        <v>40</v>
      </c>
      <c r="E16" s="1" t="s">
        <v>41</v>
      </c>
      <c r="F16" s="1" t="s">
        <v>25</v>
      </c>
      <c r="G16" s="1" t="s">
        <v>32</v>
      </c>
      <c r="H16" s="1" t="s">
        <v>39</v>
      </c>
      <c r="I16" s="1" t="s">
        <v>3</v>
      </c>
      <c r="J16" s="1">
        <v>39516</v>
      </c>
    </row>
    <row r="17" spans="1:10" x14ac:dyDescent="0.3">
      <c r="A17" s="1" t="s">
        <v>69</v>
      </c>
      <c r="B17" s="1">
        <v>51</v>
      </c>
      <c r="C17" s="1" t="s">
        <v>33</v>
      </c>
      <c r="D17" s="1" t="s">
        <v>43</v>
      </c>
      <c r="E17" s="1" t="s">
        <v>44</v>
      </c>
      <c r="F17" s="1" t="s">
        <v>22</v>
      </c>
      <c r="G17" s="1" t="s">
        <v>35</v>
      </c>
      <c r="H17" s="1" t="s">
        <v>39</v>
      </c>
      <c r="I17" s="1" t="s">
        <v>3</v>
      </c>
      <c r="J17" s="1">
        <v>32396</v>
      </c>
    </row>
    <row r="18" spans="1:10" x14ac:dyDescent="0.3">
      <c r="A18" s="1" t="s">
        <v>70</v>
      </c>
      <c r="B18" s="1">
        <v>59</v>
      </c>
      <c r="C18" s="1" t="s">
        <v>33</v>
      </c>
      <c r="D18" s="1" t="s">
        <v>43</v>
      </c>
      <c r="E18" s="1" t="s">
        <v>41</v>
      </c>
      <c r="F18" s="1" t="s">
        <v>22</v>
      </c>
      <c r="G18" s="1" t="s">
        <v>26</v>
      </c>
      <c r="H18" s="1" t="s">
        <v>45</v>
      </c>
      <c r="I18" s="1" t="s">
        <v>3</v>
      </c>
      <c r="J18" s="1">
        <v>114082</v>
      </c>
    </row>
    <row r="19" spans="1:10" x14ac:dyDescent="0.3">
      <c r="A19" s="1" t="s">
        <v>71</v>
      </c>
      <c r="B19" s="1">
        <v>23</v>
      </c>
      <c r="C19" s="1" t="s">
        <v>24</v>
      </c>
      <c r="D19" s="1" t="s">
        <v>40</v>
      </c>
      <c r="E19" s="1" t="s">
        <v>41</v>
      </c>
      <c r="F19" s="1" t="s">
        <v>31</v>
      </c>
      <c r="G19" s="1" t="s">
        <v>32</v>
      </c>
      <c r="H19" s="1" t="s">
        <v>42</v>
      </c>
      <c r="I19" s="1" t="s">
        <v>1</v>
      </c>
      <c r="J19" s="1">
        <v>49129</v>
      </c>
    </row>
    <row r="20" spans="1:10" x14ac:dyDescent="0.3">
      <c r="A20" s="1" t="s">
        <v>72</v>
      </c>
      <c r="B20" s="1">
        <v>42</v>
      </c>
      <c r="C20" s="1" t="s">
        <v>30</v>
      </c>
      <c r="D20" s="1" t="s">
        <v>40</v>
      </c>
      <c r="E20" s="1" t="s">
        <v>41</v>
      </c>
      <c r="F20" s="1" t="s">
        <v>25</v>
      </c>
      <c r="G20" s="1" t="s">
        <v>26</v>
      </c>
      <c r="H20" s="1" t="s">
        <v>45</v>
      </c>
      <c r="I20" s="1" t="s">
        <v>1</v>
      </c>
      <c r="J20" s="1">
        <v>31591</v>
      </c>
    </row>
    <row r="21" spans="1:10" x14ac:dyDescent="0.3">
      <c r="A21" s="1" t="s">
        <v>73</v>
      </c>
      <c r="B21" s="1">
        <v>54</v>
      </c>
      <c r="C21" s="1" t="s">
        <v>33</v>
      </c>
      <c r="D21" s="1" t="s">
        <v>40</v>
      </c>
      <c r="E21" s="1" t="s">
        <v>46</v>
      </c>
      <c r="F21" s="1" t="s">
        <v>22</v>
      </c>
      <c r="G21" s="1" t="s">
        <v>29</v>
      </c>
      <c r="H21" s="1" t="s">
        <v>45</v>
      </c>
      <c r="I21" s="1" t="s">
        <v>1</v>
      </c>
      <c r="J21" s="1">
        <v>41303</v>
      </c>
    </row>
    <row r="22" spans="1:10" x14ac:dyDescent="0.3">
      <c r="A22" s="1" t="s">
        <v>74</v>
      </c>
      <c r="B22" s="1">
        <v>33</v>
      </c>
      <c r="C22" s="1" t="s">
        <v>27</v>
      </c>
      <c r="D22" s="1" t="s">
        <v>40</v>
      </c>
      <c r="E22" s="1" t="s">
        <v>41</v>
      </c>
      <c r="F22" s="1" t="s">
        <v>22</v>
      </c>
      <c r="G22" s="1" t="s">
        <v>23</v>
      </c>
      <c r="H22" s="1" t="s">
        <v>42</v>
      </c>
      <c r="I22" s="1" t="s">
        <v>3</v>
      </c>
      <c r="J22" s="1">
        <v>60561</v>
      </c>
    </row>
    <row r="23" spans="1:10" x14ac:dyDescent="0.3">
      <c r="A23" s="1" t="s">
        <v>75</v>
      </c>
      <c r="B23" s="1">
        <v>43</v>
      </c>
      <c r="C23" s="1" t="s">
        <v>30</v>
      </c>
      <c r="D23" s="1" t="s">
        <v>43</v>
      </c>
      <c r="E23" s="1" t="s">
        <v>47</v>
      </c>
      <c r="F23" s="1" t="s">
        <v>25</v>
      </c>
      <c r="G23" s="1" t="s">
        <v>32</v>
      </c>
      <c r="H23" s="1" t="s">
        <v>42</v>
      </c>
      <c r="I23" s="1" t="s">
        <v>3</v>
      </c>
      <c r="J23" s="1">
        <v>101719</v>
      </c>
    </row>
    <row r="24" spans="1:10" x14ac:dyDescent="0.3">
      <c r="A24" s="1" t="s">
        <v>76</v>
      </c>
      <c r="B24" s="1">
        <v>46</v>
      </c>
      <c r="C24" s="1" t="s">
        <v>30</v>
      </c>
      <c r="D24" s="1" t="s">
        <v>40</v>
      </c>
      <c r="E24" s="1" t="s">
        <v>41</v>
      </c>
      <c r="F24" s="1" t="s">
        <v>25</v>
      </c>
      <c r="G24" s="1" t="s">
        <v>35</v>
      </c>
      <c r="H24" s="1" t="s">
        <v>42</v>
      </c>
      <c r="I24" s="1" t="s">
        <v>3</v>
      </c>
      <c r="J24" s="1">
        <v>116231</v>
      </c>
    </row>
    <row r="25" spans="1:10" x14ac:dyDescent="0.3">
      <c r="A25" s="1" t="s">
        <v>77</v>
      </c>
      <c r="B25" s="1">
        <v>48</v>
      </c>
      <c r="C25" s="1" t="s">
        <v>30</v>
      </c>
      <c r="D25" s="1" t="s">
        <v>40</v>
      </c>
      <c r="E25" s="1" t="s">
        <v>46</v>
      </c>
      <c r="F25" s="1" t="s">
        <v>22</v>
      </c>
      <c r="G25" s="1" t="s">
        <v>29</v>
      </c>
      <c r="H25" s="1" t="s">
        <v>39</v>
      </c>
      <c r="I25" s="1" t="s">
        <v>3</v>
      </c>
      <c r="J25" s="1">
        <v>37314</v>
      </c>
    </row>
    <row r="26" spans="1:10" x14ac:dyDescent="0.3">
      <c r="A26" s="1" t="s">
        <v>78</v>
      </c>
      <c r="B26" s="1">
        <v>49</v>
      </c>
      <c r="C26" s="1" t="s">
        <v>30</v>
      </c>
      <c r="D26" s="1" t="s">
        <v>43</v>
      </c>
      <c r="E26" s="1" t="s">
        <v>44</v>
      </c>
      <c r="F26" s="1" t="s">
        <v>25</v>
      </c>
      <c r="G26" s="1" t="s">
        <v>26</v>
      </c>
      <c r="H26" s="1" t="s">
        <v>45</v>
      </c>
      <c r="I26" s="1" t="s">
        <v>3</v>
      </c>
      <c r="J26" s="1">
        <v>49623</v>
      </c>
    </row>
    <row r="27" spans="1:10" x14ac:dyDescent="0.3">
      <c r="A27" s="1" t="s">
        <v>79</v>
      </c>
      <c r="B27" s="1">
        <v>37</v>
      </c>
      <c r="C27" s="1" t="s">
        <v>27</v>
      </c>
      <c r="D27" s="1" t="s">
        <v>40</v>
      </c>
      <c r="E27" s="1" t="s">
        <v>41</v>
      </c>
      <c r="F27" s="1" t="s">
        <v>22</v>
      </c>
      <c r="G27" s="1" t="s">
        <v>29</v>
      </c>
      <c r="H27" s="1" t="s">
        <v>45</v>
      </c>
      <c r="I27" s="1" t="s">
        <v>1</v>
      </c>
      <c r="J27" s="1">
        <v>97675</v>
      </c>
    </row>
    <row r="28" spans="1:10" x14ac:dyDescent="0.3">
      <c r="A28" s="1" t="s">
        <v>80</v>
      </c>
      <c r="B28" s="1">
        <v>36</v>
      </c>
      <c r="C28" s="1" t="s">
        <v>27</v>
      </c>
      <c r="D28" s="1" t="s">
        <v>43</v>
      </c>
      <c r="E28" s="1" t="s">
        <v>46</v>
      </c>
      <c r="F28" s="1" t="s">
        <v>22</v>
      </c>
      <c r="G28" s="1" t="s">
        <v>32</v>
      </c>
      <c r="H28" s="1" t="s">
        <v>39</v>
      </c>
      <c r="I28" s="1" t="s">
        <v>3</v>
      </c>
      <c r="J28" s="1">
        <v>95082</v>
      </c>
    </row>
    <row r="29" spans="1:10" x14ac:dyDescent="0.3">
      <c r="A29" s="1" t="s">
        <v>81</v>
      </c>
      <c r="B29" s="1">
        <v>24</v>
      </c>
      <c r="C29" s="1" t="s">
        <v>24</v>
      </c>
      <c r="D29" s="1" t="s">
        <v>40</v>
      </c>
      <c r="E29" s="1" t="s">
        <v>44</v>
      </c>
      <c r="F29" s="1" t="s">
        <v>31</v>
      </c>
      <c r="G29" s="1" t="s">
        <v>26</v>
      </c>
      <c r="H29" s="1" t="s">
        <v>42</v>
      </c>
      <c r="I29" s="1" t="s">
        <v>3</v>
      </c>
      <c r="J29" s="1">
        <v>113624</v>
      </c>
    </row>
    <row r="30" spans="1:10" x14ac:dyDescent="0.3">
      <c r="A30" s="1" t="s">
        <v>82</v>
      </c>
      <c r="B30" s="1">
        <v>58</v>
      </c>
      <c r="C30" s="1" t="s">
        <v>33</v>
      </c>
      <c r="D30" s="1" t="s">
        <v>40</v>
      </c>
      <c r="E30" s="1" t="s">
        <v>44</v>
      </c>
      <c r="F30" s="1" t="s">
        <v>34</v>
      </c>
      <c r="G30" s="1" t="s">
        <v>23</v>
      </c>
      <c r="H30" s="1" t="s">
        <v>39</v>
      </c>
      <c r="I30" s="1" t="s">
        <v>3</v>
      </c>
      <c r="J30" s="1">
        <v>63130</v>
      </c>
    </row>
    <row r="31" spans="1:10" x14ac:dyDescent="0.3">
      <c r="A31" s="1" t="s">
        <v>83</v>
      </c>
      <c r="B31" s="1">
        <v>28</v>
      </c>
      <c r="C31" s="1" t="s">
        <v>24</v>
      </c>
      <c r="D31" s="1" t="s">
        <v>40</v>
      </c>
      <c r="E31" s="1" t="s">
        <v>47</v>
      </c>
      <c r="F31" s="1" t="s">
        <v>22</v>
      </c>
      <c r="G31" s="1" t="s">
        <v>29</v>
      </c>
      <c r="H31" s="1" t="s">
        <v>39</v>
      </c>
      <c r="I31" s="1" t="s">
        <v>3</v>
      </c>
      <c r="J31" s="1">
        <v>81756</v>
      </c>
    </row>
    <row r="32" spans="1:10" x14ac:dyDescent="0.3">
      <c r="A32" s="1" t="s">
        <v>84</v>
      </c>
      <c r="B32" s="1">
        <v>42</v>
      </c>
      <c r="C32" s="1" t="s">
        <v>30</v>
      </c>
      <c r="D32" s="1" t="s">
        <v>43</v>
      </c>
      <c r="E32" s="1" t="s">
        <v>46</v>
      </c>
      <c r="F32" s="1" t="s">
        <v>28</v>
      </c>
      <c r="G32" s="1" t="s">
        <v>32</v>
      </c>
      <c r="H32" s="1" t="s">
        <v>39</v>
      </c>
      <c r="I32" s="1" t="s">
        <v>1</v>
      </c>
      <c r="J32" s="1">
        <v>56292</v>
      </c>
    </row>
    <row r="33" spans="1:10" x14ac:dyDescent="0.3">
      <c r="A33" s="1" t="s">
        <v>85</v>
      </c>
      <c r="B33" s="1">
        <v>30</v>
      </c>
      <c r="C33" s="1" t="s">
        <v>27</v>
      </c>
      <c r="D33" s="1" t="s">
        <v>43</v>
      </c>
      <c r="E33" s="1" t="s">
        <v>44</v>
      </c>
      <c r="F33" s="1" t="s">
        <v>34</v>
      </c>
      <c r="G33" s="1" t="s">
        <v>35</v>
      </c>
      <c r="H33" s="1" t="s">
        <v>45</v>
      </c>
      <c r="I33" s="1" t="s">
        <v>1</v>
      </c>
      <c r="J33" s="1">
        <v>116206</v>
      </c>
    </row>
    <row r="34" spans="1:10" x14ac:dyDescent="0.3">
      <c r="A34" s="1" t="s">
        <v>86</v>
      </c>
      <c r="B34" s="1">
        <v>39</v>
      </c>
      <c r="C34" s="1" t="s">
        <v>27</v>
      </c>
      <c r="D34" s="1" t="s">
        <v>40</v>
      </c>
      <c r="E34" s="1" t="s">
        <v>41</v>
      </c>
      <c r="F34" s="1" t="s">
        <v>34</v>
      </c>
      <c r="G34" s="1" t="s">
        <v>26</v>
      </c>
      <c r="H34" s="1" t="s">
        <v>39</v>
      </c>
      <c r="I34" s="1" t="s">
        <v>3</v>
      </c>
      <c r="J34" s="1">
        <v>99274</v>
      </c>
    </row>
    <row r="35" spans="1:10" x14ac:dyDescent="0.3">
      <c r="A35" s="1" t="s">
        <v>87</v>
      </c>
      <c r="B35" s="1">
        <v>25</v>
      </c>
      <c r="C35" s="1" t="s">
        <v>24</v>
      </c>
      <c r="D35" s="1" t="s">
        <v>43</v>
      </c>
      <c r="E35" s="1" t="s">
        <v>41</v>
      </c>
      <c r="F35" s="1" t="s">
        <v>34</v>
      </c>
      <c r="G35" s="1" t="s">
        <v>29</v>
      </c>
      <c r="H35" s="1" t="s">
        <v>45</v>
      </c>
      <c r="I35" s="1" t="s">
        <v>1</v>
      </c>
      <c r="J35" s="1">
        <v>32469</v>
      </c>
    </row>
    <row r="36" spans="1:10" x14ac:dyDescent="0.3">
      <c r="A36" s="1" t="s">
        <v>88</v>
      </c>
      <c r="B36" s="1">
        <v>46</v>
      </c>
      <c r="C36" s="1" t="s">
        <v>30</v>
      </c>
      <c r="D36" s="1" t="s">
        <v>43</v>
      </c>
      <c r="E36" s="1" t="s">
        <v>46</v>
      </c>
      <c r="F36" s="1" t="s">
        <v>31</v>
      </c>
      <c r="G36" s="1" t="s">
        <v>29</v>
      </c>
      <c r="H36" s="1" t="s">
        <v>45</v>
      </c>
      <c r="I36" s="1" t="s">
        <v>3</v>
      </c>
      <c r="J36" s="1">
        <v>83947</v>
      </c>
    </row>
    <row r="37" spans="1:10" x14ac:dyDescent="0.3">
      <c r="A37" s="1" t="s">
        <v>89</v>
      </c>
      <c r="B37" s="1">
        <v>35</v>
      </c>
      <c r="C37" s="1" t="s">
        <v>27</v>
      </c>
      <c r="D37" s="1" t="s">
        <v>43</v>
      </c>
      <c r="E37" s="1" t="s">
        <v>41</v>
      </c>
      <c r="F37" s="1" t="s">
        <v>22</v>
      </c>
      <c r="G37" s="1" t="s">
        <v>23</v>
      </c>
      <c r="H37" s="1" t="s">
        <v>45</v>
      </c>
      <c r="I37" s="1" t="s">
        <v>1</v>
      </c>
      <c r="J37" s="1">
        <v>52534</v>
      </c>
    </row>
    <row r="38" spans="1:10" x14ac:dyDescent="0.3">
      <c r="A38" s="1" t="s">
        <v>90</v>
      </c>
      <c r="B38" s="1">
        <v>30</v>
      </c>
      <c r="C38" s="1" t="s">
        <v>27</v>
      </c>
      <c r="D38" s="1" t="s">
        <v>43</v>
      </c>
      <c r="E38" s="1" t="s">
        <v>44</v>
      </c>
      <c r="F38" s="1" t="s">
        <v>31</v>
      </c>
      <c r="G38" s="1" t="s">
        <v>23</v>
      </c>
      <c r="H38" s="1" t="s">
        <v>42</v>
      </c>
      <c r="I38" s="1" t="s">
        <v>3</v>
      </c>
      <c r="J38" s="1">
        <v>93620</v>
      </c>
    </row>
    <row r="39" spans="1:10" x14ac:dyDescent="0.3">
      <c r="A39" s="1" t="s">
        <v>91</v>
      </c>
      <c r="B39" s="1">
        <v>47</v>
      </c>
      <c r="C39" s="1" t="s">
        <v>30</v>
      </c>
      <c r="D39" s="1" t="s">
        <v>43</v>
      </c>
      <c r="E39" s="1" t="s">
        <v>44</v>
      </c>
      <c r="F39" s="1" t="s">
        <v>22</v>
      </c>
      <c r="G39" s="1" t="s">
        <v>35</v>
      </c>
      <c r="H39" s="1" t="s">
        <v>45</v>
      </c>
      <c r="I39" s="1" t="s">
        <v>3</v>
      </c>
      <c r="J39" s="1">
        <v>78874</v>
      </c>
    </row>
    <row r="40" spans="1:10" x14ac:dyDescent="0.3">
      <c r="A40" s="1" t="s">
        <v>92</v>
      </c>
      <c r="B40" s="1">
        <v>23</v>
      </c>
      <c r="C40" s="1" t="s">
        <v>24</v>
      </c>
      <c r="D40" s="1" t="s">
        <v>43</v>
      </c>
      <c r="E40" s="1" t="s">
        <v>41</v>
      </c>
      <c r="F40" s="1" t="s">
        <v>31</v>
      </c>
      <c r="G40" s="1" t="s">
        <v>35</v>
      </c>
      <c r="H40" s="1" t="s">
        <v>45</v>
      </c>
      <c r="I40" s="1" t="s">
        <v>3</v>
      </c>
      <c r="J40" s="1">
        <v>79708</v>
      </c>
    </row>
    <row r="41" spans="1:10" x14ac:dyDescent="0.3">
      <c r="A41" s="1" t="s">
        <v>93</v>
      </c>
      <c r="B41" s="1">
        <v>41</v>
      </c>
      <c r="C41" s="1" t="s">
        <v>30</v>
      </c>
      <c r="D41" s="1" t="s">
        <v>40</v>
      </c>
      <c r="E41" s="1" t="s">
        <v>46</v>
      </c>
      <c r="F41" s="1" t="s">
        <v>31</v>
      </c>
      <c r="G41" s="1" t="s">
        <v>32</v>
      </c>
      <c r="H41" s="1" t="s">
        <v>42</v>
      </c>
      <c r="I41" s="1" t="s">
        <v>3</v>
      </c>
      <c r="J41" s="1">
        <v>104553</v>
      </c>
    </row>
    <row r="42" spans="1:10" x14ac:dyDescent="0.3">
      <c r="A42" s="1" t="s">
        <v>94</v>
      </c>
      <c r="B42" s="1">
        <v>49</v>
      </c>
      <c r="C42" s="1" t="s">
        <v>30</v>
      </c>
      <c r="D42" s="1" t="s">
        <v>40</v>
      </c>
      <c r="E42" s="1" t="s">
        <v>44</v>
      </c>
      <c r="F42" s="1" t="s">
        <v>28</v>
      </c>
      <c r="G42" s="1" t="s">
        <v>32</v>
      </c>
      <c r="H42" s="1" t="s">
        <v>45</v>
      </c>
      <c r="I42" s="1" t="s">
        <v>3</v>
      </c>
      <c r="J42" s="1">
        <v>98344</v>
      </c>
    </row>
    <row r="43" spans="1:10" x14ac:dyDescent="0.3">
      <c r="A43" s="1" t="s">
        <v>95</v>
      </c>
      <c r="B43" s="1">
        <v>28</v>
      </c>
      <c r="C43" s="1" t="s">
        <v>24</v>
      </c>
      <c r="D43" s="1" t="s">
        <v>43</v>
      </c>
      <c r="E43" s="1" t="s">
        <v>47</v>
      </c>
      <c r="F43" s="1" t="s">
        <v>31</v>
      </c>
      <c r="G43" s="1" t="s">
        <v>35</v>
      </c>
      <c r="H43" s="1" t="s">
        <v>39</v>
      </c>
      <c r="I43" s="1" t="s">
        <v>3</v>
      </c>
      <c r="J43" s="1">
        <v>79138</v>
      </c>
    </row>
    <row r="44" spans="1:10" x14ac:dyDescent="0.3">
      <c r="A44" s="1" t="s">
        <v>96</v>
      </c>
      <c r="B44" s="1">
        <v>29</v>
      </c>
      <c r="C44" s="1" t="s">
        <v>24</v>
      </c>
      <c r="D44" s="1" t="s">
        <v>40</v>
      </c>
      <c r="E44" s="1" t="s">
        <v>41</v>
      </c>
      <c r="F44" s="1" t="s">
        <v>25</v>
      </c>
      <c r="G44" s="1" t="s">
        <v>35</v>
      </c>
      <c r="H44" s="1" t="s">
        <v>39</v>
      </c>
      <c r="I44" s="1" t="s">
        <v>3</v>
      </c>
      <c r="J44" s="1">
        <v>84302</v>
      </c>
    </row>
    <row r="45" spans="1:10" x14ac:dyDescent="0.3">
      <c r="A45" s="1" t="s">
        <v>97</v>
      </c>
      <c r="B45" s="1">
        <v>56</v>
      </c>
      <c r="C45" s="1" t="s">
        <v>33</v>
      </c>
      <c r="D45" s="1" t="s">
        <v>40</v>
      </c>
      <c r="E45" s="1" t="s">
        <v>41</v>
      </c>
      <c r="F45" s="1" t="s">
        <v>28</v>
      </c>
      <c r="G45" s="1" t="s">
        <v>26</v>
      </c>
      <c r="H45" s="1" t="s">
        <v>45</v>
      </c>
      <c r="I45" s="1" t="s">
        <v>3</v>
      </c>
      <c r="J45" s="1">
        <v>77638</v>
      </c>
    </row>
    <row r="46" spans="1:10" x14ac:dyDescent="0.3">
      <c r="A46" s="1" t="s">
        <v>98</v>
      </c>
      <c r="B46" s="1">
        <v>35</v>
      </c>
      <c r="C46" s="1" t="s">
        <v>27</v>
      </c>
      <c r="D46" s="1" t="s">
        <v>40</v>
      </c>
      <c r="E46" s="1" t="s">
        <v>44</v>
      </c>
      <c r="F46" s="1" t="s">
        <v>31</v>
      </c>
      <c r="G46" s="1" t="s">
        <v>23</v>
      </c>
      <c r="H46" s="1" t="s">
        <v>42</v>
      </c>
      <c r="I46" s="1" t="s">
        <v>3</v>
      </c>
      <c r="J46" s="1">
        <v>108249</v>
      </c>
    </row>
    <row r="47" spans="1:10" x14ac:dyDescent="0.3">
      <c r="A47" s="1" t="s">
        <v>99</v>
      </c>
      <c r="B47" s="1">
        <v>38</v>
      </c>
      <c r="C47" s="1" t="s">
        <v>27</v>
      </c>
      <c r="D47" s="1" t="s">
        <v>40</v>
      </c>
      <c r="E47" s="1" t="s">
        <v>44</v>
      </c>
      <c r="F47" s="1" t="s">
        <v>34</v>
      </c>
      <c r="G47" s="1" t="s">
        <v>32</v>
      </c>
      <c r="H47" s="1" t="s">
        <v>39</v>
      </c>
      <c r="I47" s="1" t="s">
        <v>3</v>
      </c>
      <c r="J47" s="1">
        <v>32719</v>
      </c>
    </row>
    <row r="48" spans="1:10" x14ac:dyDescent="0.3">
      <c r="A48" s="1" t="s">
        <v>100</v>
      </c>
      <c r="B48" s="1">
        <v>57</v>
      </c>
      <c r="C48" s="1" t="s">
        <v>33</v>
      </c>
      <c r="D48" s="1" t="s">
        <v>43</v>
      </c>
      <c r="E48" s="1" t="s">
        <v>47</v>
      </c>
      <c r="F48" s="1" t="s">
        <v>25</v>
      </c>
      <c r="G48" s="1" t="s">
        <v>23</v>
      </c>
      <c r="H48" s="1" t="s">
        <v>42</v>
      </c>
      <c r="I48" s="1" t="s">
        <v>1</v>
      </c>
      <c r="J48" s="1">
        <v>52890</v>
      </c>
    </row>
    <row r="49" spans="1:10" x14ac:dyDescent="0.3">
      <c r="A49" s="1" t="s">
        <v>101</v>
      </c>
      <c r="B49" s="1">
        <v>25</v>
      </c>
      <c r="C49" s="1" t="s">
        <v>24</v>
      </c>
      <c r="D49" s="1" t="s">
        <v>40</v>
      </c>
      <c r="E49" s="1" t="s">
        <v>46</v>
      </c>
      <c r="F49" s="1" t="s">
        <v>25</v>
      </c>
      <c r="G49" s="1" t="s">
        <v>23</v>
      </c>
      <c r="H49" s="1" t="s">
        <v>42</v>
      </c>
      <c r="I49" s="1" t="s">
        <v>1</v>
      </c>
      <c r="J49" s="1">
        <v>107236</v>
      </c>
    </row>
    <row r="50" spans="1:10" x14ac:dyDescent="0.3">
      <c r="A50" s="1" t="s">
        <v>102</v>
      </c>
      <c r="B50" s="1">
        <v>23</v>
      </c>
      <c r="C50" s="1" t="s">
        <v>24</v>
      </c>
      <c r="D50" s="1" t="s">
        <v>40</v>
      </c>
      <c r="E50" s="1" t="s">
        <v>41</v>
      </c>
      <c r="F50" s="1" t="s">
        <v>25</v>
      </c>
      <c r="G50" s="1" t="s">
        <v>35</v>
      </c>
      <c r="H50" s="1" t="s">
        <v>39</v>
      </c>
      <c r="I50" s="1" t="s">
        <v>3</v>
      </c>
      <c r="J50" s="1">
        <v>66509</v>
      </c>
    </row>
    <row r="51" spans="1:10" x14ac:dyDescent="0.3">
      <c r="A51" s="1" t="s">
        <v>103</v>
      </c>
      <c r="B51" s="1">
        <v>27</v>
      </c>
      <c r="C51" s="1" t="s">
        <v>24</v>
      </c>
      <c r="D51" s="1" t="s">
        <v>43</v>
      </c>
      <c r="E51" s="1" t="s">
        <v>46</v>
      </c>
      <c r="F51" s="1" t="s">
        <v>28</v>
      </c>
      <c r="G51" s="1" t="s">
        <v>26</v>
      </c>
      <c r="H51" s="1" t="s">
        <v>42</v>
      </c>
      <c r="I51" s="1" t="s">
        <v>3</v>
      </c>
      <c r="J51" s="1">
        <v>72534</v>
      </c>
    </row>
    <row r="52" spans="1:10" x14ac:dyDescent="0.3">
      <c r="A52" s="1" t="s">
        <v>104</v>
      </c>
      <c r="B52" s="1">
        <v>25</v>
      </c>
      <c r="C52" s="1" t="s">
        <v>24</v>
      </c>
      <c r="D52" s="1" t="s">
        <v>43</v>
      </c>
      <c r="E52" s="1" t="s">
        <v>41</v>
      </c>
      <c r="F52" s="1" t="s">
        <v>31</v>
      </c>
      <c r="G52" s="1" t="s">
        <v>29</v>
      </c>
      <c r="H52" s="1" t="s">
        <v>39</v>
      </c>
      <c r="I52" s="1" t="s">
        <v>1</v>
      </c>
      <c r="J52" s="1">
        <v>48787</v>
      </c>
    </row>
    <row r="53" spans="1:10" x14ac:dyDescent="0.3">
      <c r="A53" s="1" t="s">
        <v>105</v>
      </c>
      <c r="B53" s="1">
        <v>50</v>
      </c>
      <c r="C53" s="1" t="s">
        <v>33</v>
      </c>
      <c r="D53" s="1" t="s">
        <v>40</v>
      </c>
      <c r="E53" s="1" t="s">
        <v>46</v>
      </c>
      <c r="F53" s="1" t="s">
        <v>31</v>
      </c>
      <c r="G53" s="1" t="s">
        <v>26</v>
      </c>
      <c r="H53" s="1" t="s">
        <v>42</v>
      </c>
      <c r="I53" s="1" t="s">
        <v>3</v>
      </c>
      <c r="J53" s="1">
        <v>78845</v>
      </c>
    </row>
    <row r="54" spans="1:10" x14ac:dyDescent="0.3">
      <c r="A54" s="1" t="s">
        <v>106</v>
      </c>
      <c r="B54" s="1">
        <v>39</v>
      </c>
      <c r="C54" s="1" t="s">
        <v>27</v>
      </c>
      <c r="D54" s="1" t="s">
        <v>40</v>
      </c>
      <c r="E54" s="1" t="s">
        <v>44</v>
      </c>
      <c r="F54" s="1" t="s">
        <v>34</v>
      </c>
      <c r="G54" s="1" t="s">
        <v>26</v>
      </c>
      <c r="H54" s="1" t="s">
        <v>39</v>
      </c>
      <c r="I54" s="1" t="s">
        <v>3</v>
      </c>
      <c r="J54" s="1">
        <v>87932</v>
      </c>
    </row>
    <row r="55" spans="1:10" x14ac:dyDescent="0.3">
      <c r="A55" s="1" t="s">
        <v>107</v>
      </c>
      <c r="B55" s="1">
        <v>47</v>
      </c>
      <c r="C55" s="1" t="s">
        <v>30</v>
      </c>
      <c r="D55" s="1" t="s">
        <v>40</v>
      </c>
      <c r="E55" s="1" t="s">
        <v>41</v>
      </c>
      <c r="F55" s="1" t="s">
        <v>34</v>
      </c>
      <c r="G55" s="1" t="s">
        <v>23</v>
      </c>
      <c r="H55" s="1" t="s">
        <v>45</v>
      </c>
      <c r="I55" s="1" t="s">
        <v>3</v>
      </c>
      <c r="J55" s="1">
        <v>63062</v>
      </c>
    </row>
    <row r="56" spans="1:10" x14ac:dyDescent="0.3">
      <c r="A56" s="1" t="s">
        <v>108</v>
      </c>
      <c r="B56" s="1">
        <v>55</v>
      </c>
      <c r="C56" s="1" t="s">
        <v>33</v>
      </c>
      <c r="D56" s="1" t="s">
        <v>40</v>
      </c>
      <c r="E56" s="1" t="s">
        <v>44</v>
      </c>
      <c r="F56" s="1" t="s">
        <v>25</v>
      </c>
      <c r="G56" s="1" t="s">
        <v>26</v>
      </c>
      <c r="H56" s="1" t="s">
        <v>39</v>
      </c>
      <c r="I56" s="1" t="s">
        <v>3</v>
      </c>
      <c r="J56" s="1">
        <v>105713</v>
      </c>
    </row>
    <row r="57" spans="1:10" x14ac:dyDescent="0.3">
      <c r="A57" s="1" t="s">
        <v>109</v>
      </c>
      <c r="B57" s="1">
        <v>31</v>
      </c>
      <c r="C57" s="1" t="s">
        <v>27</v>
      </c>
      <c r="D57" s="1" t="s">
        <v>40</v>
      </c>
      <c r="E57" s="1" t="s">
        <v>44</v>
      </c>
      <c r="F57" s="1" t="s">
        <v>34</v>
      </c>
      <c r="G57" s="1" t="s">
        <v>32</v>
      </c>
      <c r="H57" s="1" t="s">
        <v>39</v>
      </c>
      <c r="I57" s="1" t="s">
        <v>1</v>
      </c>
      <c r="J57" s="1">
        <v>117263</v>
      </c>
    </row>
    <row r="58" spans="1:10" x14ac:dyDescent="0.3">
      <c r="A58" s="1" t="s">
        <v>110</v>
      </c>
      <c r="B58" s="1">
        <v>57</v>
      </c>
      <c r="C58" s="1" t="s">
        <v>33</v>
      </c>
      <c r="D58" s="1" t="s">
        <v>40</v>
      </c>
      <c r="E58" s="1" t="s">
        <v>41</v>
      </c>
      <c r="F58" s="1" t="s">
        <v>28</v>
      </c>
      <c r="G58" s="1" t="s">
        <v>23</v>
      </c>
      <c r="H58" s="1" t="s">
        <v>39</v>
      </c>
      <c r="I58" s="1" t="s">
        <v>1</v>
      </c>
      <c r="J58" s="1">
        <v>90461</v>
      </c>
    </row>
    <row r="59" spans="1:10" x14ac:dyDescent="0.3">
      <c r="A59" s="1" t="s">
        <v>111</v>
      </c>
      <c r="B59" s="1">
        <v>35</v>
      </c>
      <c r="C59" s="1" t="s">
        <v>27</v>
      </c>
      <c r="D59" s="1" t="s">
        <v>43</v>
      </c>
      <c r="E59" s="1" t="s">
        <v>44</v>
      </c>
      <c r="F59" s="1" t="s">
        <v>31</v>
      </c>
      <c r="G59" s="1" t="s">
        <v>32</v>
      </c>
      <c r="H59" s="1" t="s">
        <v>39</v>
      </c>
      <c r="I59" s="1" t="s">
        <v>3</v>
      </c>
      <c r="J59" s="1">
        <v>105418</v>
      </c>
    </row>
    <row r="60" spans="1:10" x14ac:dyDescent="0.3">
      <c r="A60" s="1" t="s">
        <v>112</v>
      </c>
      <c r="B60" s="1">
        <v>52</v>
      </c>
      <c r="C60" s="1" t="s">
        <v>33</v>
      </c>
      <c r="D60" s="1" t="s">
        <v>40</v>
      </c>
      <c r="E60" s="1" t="s">
        <v>44</v>
      </c>
      <c r="F60" s="1" t="s">
        <v>25</v>
      </c>
      <c r="G60" s="1" t="s">
        <v>29</v>
      </c>
      <c r="H60" s="1" t="s">
        <v>42</v>
      </c>
      <c r="I60" s="1" t="s">
        <v>3</v>
      </c>
      <c r="J60" s="1">
        <v>96672</v>
      </c>
    </row>
    <row r="61" spans="1:10" x14ac:dyDescent="0.3">
      <c r="A61" s="1" t="s">
        <v>113</v>
      </c>
      <c r="B61" s="1">
        <v>36</v>
      </c>
      <c r="C61" s="1" t="s">
        <v>27</v>
      </c>
      <c r="D61" s="1" t="s">
        <v>40</v>
      </c>
      <c r="E61" s="1" t="s">
        <v>41</v>
      </c>
      <c r="F61" s="1" t="s">
        <v>34</v>
      </c>
      <c r="G61" s="1" t="s">
        <v>23</v>
      </c>
      <c r="H61" s="1" t="s">
        <v>45</v>
      </c>
      <c r="I61" s="1" t="s">
        <v>3</v>
      </c>
      <c r="J61" s="1">
        <v>64832</v>
      </c>
    </row>
    <row r="62" spans="1:10" x14ac:dyDescent="0.3">
      <c r="A62" s="1" t="s">
        <v>114</v>
      </c>
      <c r="B62" s="1">
        <v>29</v>
      </c>
      <c r="C62" s="1" t="s">
        <v>24</v>
      </c>
      <c r="D62" s="1" t="s">
        <v>43</v>
      </c>
      <c r="E62" s="1" t="s">
        <v>47</v>
      </c>
      <c r="F62" s="1" t="s">
        <v>28</v>
      </c>
      <c r="G62" s="1" t="s">
        <v>29</v>
      </c>
      <c r="H62" s="1" t="s">
        <v>39</v>
      </c>
      <c r="I62" s="1" t="s">
        <v>3</v>
      </c>
      <c r="J62" s="1">
        <v>61966</v>
      </c>
    </row>
    <row r="63" spans="1:10" x14ac:dyDescent="0.3">
      <c r="A63" s="1" t="s">
        <v>115</v>
      </c>
      <c r="B63" s="1">
        <v>35</v>
      </c>
      <c r="C63" s="1" t="s">
        <v>27</v>
      </c>
      <c r="D63" s="1" t="s">
        <v>43</v>
      </c>
      <c r="E63" s="1" t="s">
        <v>44</v>
      </c>
      <c r="F63" s="1" t="s">
        <v>28</v>
      </c>
      <c r="G63" s="1" t="s">
        <v>23</v>
      </c>
      <c r="H63" s="1" t="s">
        <v>42</v>
      </c>
      <c r="I63" s="1" t="s">
        <v>1</v>
      </c>
      <c r="J63" s="1">
        <v>102545</v>
      </c>
    </row>
    <row r="64" spans="1:10" x14ac:dyDescent="0.3">
      <c r="A64" s="1" t="s">
        <v>116</v>
      </c>
      <c r="B64" s="1">
        <v>44</v>
      </c>
      <c r="C64" s="1" t="s">
        <v>30</v>
      </c>
      <c r="D64" s="1" t="s">
        <v>43</v>
      </c>
      <c r="E64" s="1" t="s">
        <v>44</v>
      </c>
      <c r="F64" s="1" t="s">
        <v>34</v>
      </c>
      <c r="G64" s="1" t="s">
        <v>35</v>
      </c>
      <c r="H64" s="1" t="s">
        <v>45</v>
      </c>
      <c r="I64" s="1" t="s">
        <v>3</v>
      </c>
      <c r="J64" s="1">
        <v>42987</v>
      </c>
    </row>
    <row r="65" spans="1:10" x14ac:dyDescent="0.3">
      <c r="A65" s="1" t="s">
        <v>117</v>
      </c>
      <c r="B65" s="1">
        <v>42</v>
      </c>
      <c r="C65" s="1" t="s">
        <v>30</v>
      </c>
      <c r="D65" s="1" t="s">
        <v>43</v>
      </c>
      <c r="E65" s="1" t="s">
        <v>46</v>
      </c>
      <c r="F65" s="1" t="s">
        <v>31</v>
      </c>
      <c r="G65" s="1" t="s">
        <v>26</v>
      </c>
      <c r="H65" s="1" t="s">
        <v>45</v>
      </c>
      <c r="I65" s="1" t="s">
        <v>3</v>
      </c>
      <c r="J65" s="1">
        <v>67311</v>
      </c>
    </row>
    <row r="66" spans="1:10" x14ac:dyDescent="0.3">
      <c r="A66" s="1" t="s">
        <v>118</v>
      </c>
      <c r="B66" s="1">
        <v>37</v>
      </c>
      <c r="C66" s="1" t="s">
        <v>27</v>
      </c>
      <c r="D66" s="1" t="s">
        <v>40</v>
      </c>
      <c r="E66" s="1" t="s">
        <v>46</v>
      </c>
      <c r="F66" s="1" t="s">
        <v>34</v>
      </c>
      <c r="G66" s="1" t="s">
        <v>35</v>
      </c>
      <c r="H66" s="1" t="s">
        <v>45</v>
      </c>
      <c r="I66" s="1" t="s">
        <v>3</v>
      </c>
      <c r="J66" s="1">
        <v>61575</v>
      </c>
    </row>
    <row r="67" spans="1:10" x14ac:dyDescent="0.3">
      <c r="A67" s="1" t="s">
        <v>119</v>
      </c>
      <c r="B67" s="1">
        <v>39</v>
      </c>
      <c r="C67" s="1" t="s">
        <v>27</v>
      </c>
      <c r="D67" s="1" t="s">
        <v>40</v>
      </c>
      <c r="E67" s="1" t="s">
        <v>41</v>
      </c>
      <c r="F67" s="1" t="s">
        <v>25</v>
      </c>
      <c r="G67" s="1" t="s">
        <v>29</v>
      </c>
      <c r="H67" s="1" t="s">
        <v>45</v>
      </c>
      <c r="I67" s="1" t="s">
        <v>3</v>
      </c>
      <c r="J67" s="1">
        <v>93852</v>
      </c>
    </row>
    <row r="68" spans="1:10" x14ac:dyDescent="0.3">
      <c r="A68" s="1" t="s">
        <v>120</v>
      </c>
      <c r="B68" s="1">
        <v>45</v>
      </c>
      <c r="C68" s="1" t="s">
        <v>30</v>
      </c>
      <c r="D68" s="1" t="s">
        <v>40</v>
      </c>
      <c r="E68" s="1" t="s">
        <v>41</v>
      </c>
      <c r="F68" s="1" t="s">
        <v>34</v>
      </c>
      <c r="G68" s="1" t="s">
        <v>26</v>
      </c>
      <c r="H68" s="1" t="s">
        <v>39</v>
      </c>
      <c r="I68" s="1" t="s">
        <v>3</v>
      </c>
      <c r="J68" s="1">
        <v>31007</v>
      </c>
    </row>
    <row r="69" spans="1:10" x14ac:dyDescent="0.3">
      <c r="A69" s="1" t="s">
        <v>121</v>
      </c>
      <c r="B69" s="1">
        <v>47</v>
      </c>
      <c r="C69" s="1" t="s">
        <v>30</v>
      </c>
      <c r="D69" s="1" t="s">
        <v>40</v>
      </c>
      <c r="E69" s="1" t="s">
        <v>46</v>
      </c>
      <c r="F69" s="1" t="s">
        <v>28</v>
      </c>
      <c r="G69" s="1" t="s">
        <v>23</v>
      </c>
      <c r="H69" s="1" t="s">
        <v>39</v>
      </c>
      <c r="I69" s="1" t="s">
        <v>3</v>
      </c>
      <c r="J69" s="1">
        <v>100981</v>
      </c>
    </row>
    <row r="70" spans="1:10" x14ac:dyDescent="0.3">
      <c r="A70" s="1" t="s">
        <v>122</v>
      </c>
      <c r="B70" s="1">
        <v>46</v>
      </c>
      <c r="C70" s="1" t="s">
        <v>30</v>
      </c>
      <c r="D70" s="1" t="s">
        <v>40</v>
      </c>
      <c r="E70" s="1" t="s">
        <v>44</v>
      </c>
      <c r="F70" s="1" t="s">
        <v>34</v>
      </c>
      <c r="G70" s="1" t="s">
        <v>26</v>
      </c>
      <c r="H70" s="1" t="s">
        <v>42</v>
      </c>
      <c r="I70" s="1" t="s">
        <v>1</v>
      </c>
      <c r="J70" s="1">
        <v>106242</v>
      </c>
    </row>
    <row r="71" spans="1:10" x14ac:dyDescent="0.3">
      <c r="A71" s="1" t="s">
        <v>123</v>
      </c>
      <c r="B71" s="1">
        <v>50</v>
      </c>
      <c r="C71" s="1" t="s">
        <v>33</v>
      </c>
      <c r="D71" s="1" t="s">
        <v>40</v>
      </c>
      <c r="E71" s="1" t="s">
        <v>47</v>
      </c>
      <c r="F71" s="1" t="s">
        <v>31</v>
      </c>
      <c r="G71" s="1" t="s">
        <v>32</v>
      </c>
      <c r="H71" s="1" t="s">
        <v>42</v>
      </c>
      <c r="I71" s="1" t="s">
        <v>3</v>
      </c>
      <c r="J71" s="1">
        <v>77517</v>
      </c>
    </row>
    <row r="72" spans="1:10" x14ac:dyDescent="0.3">
      <c r="A72" s="1" t="s">
        <v>124</v>
      </c>
      <c r="B72" s="1">
        <v>36</v>
      </c>
      <c r="C72" s="1" t="s">
        <v>27</v>
      </c>
      <c r="D72" s="1" t="s">
        <v>43</v>
      </c>
      <c r="E72" s="1" t="s">
        <v>46</v>
      </c>
      <c r="F72" s="1" t="s">
        <v>22</v>
      </c>
      <c r="G72" s="1" t="s">
        <v>26</v>
      </c>
      <c r="H72" s="1" t="s">
        <v>42</v>
      </c>
      <c r="I72" s="1" t="s">
        <v>1</v>
      </c>
      <c r="J72" s="1">
        <v>59257</v>
      </c>
    </row>
    <row r="73" spans="1:10" x14ac:dyDescent="0.3">
      <c r="A73" s="1" t="s">
        <v>125</v>
      </c>
      <c r="B73" s="1">
        <v>22</v>
      </c>
      <c r="C73" s="1" t="s">
        <v>24</v>
      </c>
      <c r="D73" s="1" t="s">
        <v>40</v>
      </c>
      <c r="E73" s="1" t="s">
        <v>41</v>
      </c>
      <c r="F73" s="1" t="s">
        <v>34</v>
      </c>
      <c r="G73" s="1" t="s">
        <v>32</v>
      </c>
      <c r="H73" s="1" t="s">
        <v>45</v>
      </c>
      <c r="I73" s="1" t="s">
        <v>3</v>
      </c>
      <c r="J73" s="1">
        <v>117272</v>
      </c>
    </row>
    <row r="74" spans="1:10" x14ac:dyDescent="0.3">
      <c r="A74" s="1" t="s">
        <v>126</v>
      </c>
      <c r="B74" s="1">
        <v>46</v>
      </c>
      <c r="C74" s="1" t="s">
        <v>30</v>
      </c>
      <c r="D74" s="1" t="s">
        <v>43</v>
      </c>
      <c r="E74" s="1" t="s">
        <v>44</v>
      </c>
      <c r="F74" s="1" t="s">
        <v>31</v>
      </c>
      <c r="G74" s="1" t="s">
        <v>26</v>
      </c>
      <c r="H74" s="1" t="s">
        <v>45</v>
      </c>
      <c r="I74" s="1" t="s">
        <v>3</v>
      </c>
      <c r="J74" s="1">
        <v>72207</v>
      </c>
    </row>
    <row r="75" spans="1:10" x14ac:dyDescent="0.3">
      <c r="A75" s="1" t="s">
        <v>127</v>
      </c>
      <c r="B75" s="1">
        <v>28</v>
      </c>
      <c r="C75" s="1" t="s">
        <v>24</v>
      </c>
      <c r="D75" s="1" t="s">
        <v>43</v>
      </c>
      <c r="E75" s="1" t="s">
        <v>47</v>
      </c>
      <c r="F75" s="1" t="s">
        <v>31</v>
      </c>
      <c r="G75" s="1" t="s">
        <v>32</v>
      </c>
      <c r="H75" s="1" t="s">
        <v>39</v>
      </c>
      <c r="I75" s="1" t="s">
        <v>1</v>
      </c>
      <c r="J75" s="1">
        <v>43281</v>
      </c>
    </row>
    <row r="76" spans="1:10" x14ac:dyDescent="0.3">
      <c r="A76" s="1" t="s">
        <v>128</v>
      </c>
      <c r="B76" s="1">
        <v>30</v>
      </c>
      <c r="C76" s="1" t="s">
        <v>27</v>
      </c>
      <c r="D76" s="1" t="s">
        <v>40</v>
      </c>
      <c r="E76" s="1" t="s">
        <v>41</v>
      </c>
      <c r="F76" s="1" t="s">
        <v>28</v>
      </c>
      <c r="G76" s="1" t="s">
        <v>29</v>
      </c>
      <c r="H76" s="1" t="s">
        <v>45</v>
      </c>
      <c r="I76" s="1" t="s">
        <v>3</v>
      </c>
      <c r="J76" s="1">
        <v>91246</v>
      </c>
    </row>
    <row r="77" spans="1:10" x14ac:dyDescent="0.3">
      <c r="A77" s="1" t="s">
        <v>129</v>
      </c>
      <c r="B77" s="1">
        <v>45</v>
      </c>
      <c r="C77" s="1" t="s">
        <v>30</v>
      </c>
      <c r="D77" s="1" t="s">
        <v>43</v>
      </c>
      <c r="E77" s="1" t="s">
        <v>41</v>
      </c>
      <c r="F77" s="1" t="s">
        <v>31</v>
      </c>
      <c r="G77" s="1" t="s">
        <v>35</v>
      </c>
      <c r="H77" s="1" t="s">
        <v>45</v>
      </c>
      <c r="I77" s="1" t="s">
        <v>3</v>
      </c>
      <c r="J77" s="1">
        <v>31435</v>
      </c>
    </row>
    <row r="78" spans="1:10" x14ac:dyDescent="0.3">
      <c r="A78" s="1" t="s">
        <v>130</v>
      </c>
      <c r="B78" s="1">
        <v>22</v>
      </c>
      <c r="C78" s="1" t="s">
        <v>24</v>
      </c>
      <c r="D78" s="1" t="s">
        <v>40</v>
      </c>
      <c r="E78" s="1" t="s">
        <v>46</v>
      </c>
      <c r="F78" s="1" t="s">
        <v>31</v>
      </c>
      <c r="G78" s="1" t="s">
        <v>23</v>
      </c>
      <c r="H78" s="1" t="s">
        <v>45</v>
      </c>
      <c r="I78" s="1" t="s">
        <v>3</v>
      </c>
      <c r="J78" s="1">
        <v>56660</v>
      </c>
    </row>
    <row r="79" spans="1:10" x14ac:dyDescent="0.3">
      <c r="A79" s="1" t="s">
        <v>131</v>
      </c>
      <c r="B79" s="1">
        <v>29</v>
      </c>
      <c r="C79" s="1" t="s">
        <v>24</v>
      </c>
      <c r="D79" s="1" t="s">
        <v>43</v>
      </c>
      <c r="E79" s="1" t="s">
        <v>46</v>
      </c>
      <c r="F79" s="1" t="s">
        <v>31</v>
      </c>
      <c r="G79" s="1" t="s">
        <v>26</v>
      </c>
      <c r="H79" s="1" t="s">
        <v>42</v>
      </c>
      <c r="I79" s="1" t="s">
        <v>3</v>
      </c>
      <c r="J79" s="1">
        <v>35084</v>
      </c>
    </row>
    <row r="80" spans="1:10" x14ac:dyDescent="0.3">
      <c r="A80" s="1" t="s">
        <v>132</v>
      </c>
      <c r="B80" s="1">
        <v>45</v>
      </c>
      <c r="C80" s="1" t="s">
        <v>30</v>
      </c>
      <c r="D80" s="1" t="s">
        <v>40</v>
      </c>
      <c r="E80" s="1" t="s">
        <v>47</v>
      </c>
      <c r="F80" s="1" t="s">
        <v>31</v>
      </c>
      <c r="G80" s="1" t="s">
        <v>35</v>
      </c>
      <c r="H80" s="1" t="s">
        <v>42</v>
      </c>
      <c r="I80" s="1" t="s">
        <v>3</v>
      </c>
      <c r="J80" s="1">
        <v>112197</v>
      </c>
    </row>
    <row r="81" spans="1:10" x14ac:dyDescent="0.3">
      <c r="A81" s="1" t="s">
        <v>133</v>
      </c>
      <c r="B81" s="1">
        <v>32</v>
      </c>
      <c r="C81" s="1" t="s">
        <v>27</v>
      </c>
      <c r="D81" s="1" t="s">
        <v>43</v>
      </c>
      <c r="E81" s="1" t="s">
        <v>47</v>
      </c>
      <c r="F81" s="1" t="s">
        <v>25</v>
      </c>
      <c r="G81" s="1" t="s">
        <v>23</v>
      </c>
      <c r="H81" s="1" t="s">
        <v>39</v>
      </c>
      <c r="I81" s="1" t="s">
        <v>3</v>
      </c>
      <c r="J81" s="1">
        <v>43507</v>
      </c>
    </row>
    <row r="82" spans="1:10" x14ac:dyDescent="0.3">
      <c r="A82" s="1" t="s">
        <v>134</v>
      </c>
      <c r="B82" s="1">
        <v>38</v>
      </c>
      <c r="C82" s="1" t="s">
        <v>27</v>
      </c>
      <c r="D82" s="1" t="s">
        <v>40</v>
      </c>
      <c r="E82" s="1" t="s">
        <v>46</v>
      </c>
      <c r="F82" s="1" t="s">
        <v>25</v>
      </c>
      <c r="G82" s="1" t="s">
        <v>23</v>
      </c>
      <c r="H82" s="1" t="s">
        <v>45</v>
      </c>
      <c r="I82" s="1" t="s">
        <v>3</v>
      </c>
      <c r="J82" s="1">
        <v>102595</v>
      </c>
    </row>
    <row r="83" spans="1:10" x14ac:dyDescent="0.3">
      <c r="A83" s="1" t="s">
        <v>135</v>
      </c>
      <c r="B83" s="1">
        <v>29</v>
      </c>
      <c r="C83" s="1" t="s">
        <v>24</v>
      </c>
      <c r="D83" s="1" t="s">
        <v>40</v>
      </c>
      <c r="E83" s="1" t="s">
        <v>46</v>
      </c>
      <c r="F83" s="1" t="s">
        <v>28</v>
      </c>
      <c r="G83" s="1" t="s">
        <v>32</v>
      </c>
      <c r="H83" s="1" t="s">
        <v>45</v>
      </c>
      <c r="I83" s="1" t="s">
        <v>1</v>
      </c>
      <c r="J83" s="1">
        <v>113807</v>
      </c>
    </row>
    <row r="84" spans="1:10" x14ac:dyDescent="0.3">
      <c r="A84" s="1" t="s">
        <v>136</v>
      </c>
      <c r="B84" s="1">
        <v>56</v>
      </c>
      <c r="C84" s="1" t="s">
        <v>33</v>
      </c>
      <c r="D84" s="1" t="s">
        <v>40</v>
      </c>
      <c r="E84" s="1" t="s">
        <v>46</v>
      </c>
      <c r="F84" s="1" t="s">
        <v>34</v>
      </c>
      <c r="G84" s="1" t="s">
        <v>29</v>
      </c>
      <c r="H84" s="1" t="s">
        <v>39</v>
      </c>
      <c r="I84" s="1" t="s">
        <v>3</v>
      </c>
      <c r="J84" s="1">
        <v>75539</v>
      </c>
    </row>
    <row r="85" spans="1:10" x14ac:dyDescent="0.3">
      <c r="A85" s="1" t="s">
        <v>137</v>
      </c>
      <c r="B85" s="1">
        <v>56</v>
      </c>
      <c r="C85" s="1" t="s">
        <v>33</v>
      </c>
      <c r="D85" s="1" t="s">
        <v>40</v>
      </c>
      <c r="E85" s="1" t="s">
        <v>46</v>
      </c>
      <c r="F85" s="1" t="s">
        <v>31</v>
      </c>
      <c r="G85" s="1" t="s">
        <v>29</v>
      </c>
      <c r="H85" s="1" t="s">
        <v>45</v>
      </c>
      <c r="I85" s="1" t="s">
        <v>1</v>
      </c>
      <c r="J85" s="1">
        <v>37491</v>
      </c>
    </row>
    <row r="86" spans="1:10" x14ac:dyDescent="0.3">
      <c r="A86" s="1" t="s">
        <v>138</v>
      </c>
      <c r="B86" s="1">
        <v>54</v>
      </c>
      <c r="C86" s="1" t="s">
        <v>33</v>
      </c>
      <c r="D86" s="1" t="s">
        <v>40</v>
      </c>
      <c r="E86" s="1" t="s">
        <v>41</v>
      </c>
      <c r="F86" s="1" t="s">
        <v>34</v>
      </c>
      <c r="G86" s="1" t="s">
        <v>35</v>
      </c>
      <c r="H86" s="1" t="s">
        <v>45</v>
      </c>
      <c r="I86" s="1" t="s">
        <v>3</v>
      </c>
      <c r="J86" s="1">
        <v>80192</v>
      </c>
    </row>
    <row r="87" spans="1:10" x14ac:dyDescent="0.3">
      <c r="A87" s="1" t="s">
        <v>139</v>
      </c>
      <c r="B87" s="1">
        <v>26</v>
      </c>
      <c r="C87" s="1" t="s">
        <v>24</v>
      </c>
      <c r="D87" s="1" t="s">
        <v>43</v>
      </c>
      <c r="E87" s="1" t="s">
        <v>44</v>
      </c>
      <c r="F87" s="1" t="s">
        <v>34</v>
      </c>
      <c r="G87" s="1" t="s">
        <v>29</v>
      </c>
      <c r="H87" s="1" t="s">
        <v>42</v>
      </c>
      <c r="I87" s="1" t="s">
        <v>3</v>
      </c>
      <c r="J87" s="1">
        <v>110395</v>
      </c>
    </row>
    <row r="88" spans="1:10" x14ac:dyDescent="0.3">
      <c r="A88" s="1" t="s">
        <v>140</v>
      </c>
      <c r="B88" s="1">
        <v>49</v>
      </c>
      <c r="C88" s="1" t="s">
        <v>30</v>
      </c>
      <c r="D88" s="1" t="s">
        <v>43</v>
      </c>
      <c r="E88" s="1" t="s">
        <v>46</v>
      </c>
      <c r="F88" s="1" t="s">
        <v>28</v>
      </c>
      <c r="G88" s="1" t="s">
        <v>26</v>
      </c>
      <c r="H88" s="1" t="s">
        <v>39</v>
      </c>
      <c r="I88" s="1" t="s">
        <v>1</v>
      </c>
      <c r="J88" s="1">
        <v>93888</v>
      </c>
    </row>
    <row r="89" spans="1:10" x14ac:dyDescent="0.3">
      <c r="A89" s="1" t="s">
        <v>141</v>
      </c>
      <c r="B89" s="1">
        <v>28</v>
      </c>
      <c r="C89" s="1" t="s">
        <v>24</v>
      </c>
      <c r="D89" s="1" t="s">
        <v>43</v>
      </c>
      <c r="E89" s="1" t="s">
        <v>46</v>
      </c>
      <c r="F89" s="1" t="s">
        <v>31</v>
      </c>
      <c r="G89" s="1" t="s">
        <v>29</v>
      </c>
      <c r="H89" s="1" t="s">
        <v>39</v>
      </c>
      <c r="I89" s="1" t="s">
        <v>3</v>
      </c>
      <c r="J89" s="1">
        <v>103609</v>
      </c>
    </row>
    <row r="90" spans="1:10" x14ac:dyDescent="0.3">
      <c r="A90" s="1" t="s">
        <v>142</v>
      </c>
      <c r="B90" s="1">
        <v>30</v>
      </c>
      <c r="C90" s="1" t="s">
        <v>27</v>
      </c>
      <c r="D90" s="1" t="s">
        <v>40</v>
      </c>
      <c r="E90" s="1" t="s">
        <v>46</v>
      </c>
      <c r="F90" s="1" t="s">
        <v>31</v>
      </c>
      <c r="G90" s="1" t="s">
        <v>35</v>
      </c>
      <c r="H90" s="1" t="s">
        <v>39</v>
      </c>
      <c r="I90" s="1" t="s">
        <v>3</v>
      </c>
      <c r="J90" s="1">
        <v>39077</v>
      </c>
    </row>
    <row r="91" spans="1:10" x14ac:dyDescent="0.3">
      <c r="A91" s="1" t="s">
        <v>143</v>
      </c>
      <c r="B91" s="1">
        <v>29</v>
      </c>
      <c r="C91" s="1" t="s">
        <v>24</v>
      </c>
      <c r="D91" s="1" t="s">
        <v>43</v>
      </c>
      <c r="E91" s="1" t="s">
        <v>46</v>
      </c>
      <c r="F91" s="1" t="s">
        <v>22</v>
      </c>
      <c r="G91" s="1" t="s">
        <v>29</v>
      </c>
      <c r="H91" s="1" t="s">
        <v>39</v>
      </c>
      <c r="I91" s="1" t="s">
        <v>1</v>
      </c>
      <c r="J91" s="1">
        <v>50953</v>
      </c>
    </row>
    <row r="92" spans="1:10" x14ac:dyDescent="0.3">
      <c r="A92" s="1" t="s">
        <v>144</v>
      </c>
      <c r="B92" s="1">
        <v>33</v>
      </c>
      <c r="C92" s="1" t="s">
        <v>27</v>
      </c>
      <c r="D92" s="1" t="s">
        <v>40</v>
      </c>
      <c r="E92" s="1" t="s">
        <v>46</v>
      </c>
      <c r="F92" s="1" t="s">
        <v>34</v>
      </c>
      <c r="G92" s="1" t="s">
        <v>26</v>
      </c>
      <c r="H92" s="1" t="s">
        <v>42</v>
      </c>
      <c r="I92" s="1" t="s">
        <v>3</v>
      </c>
      <c r="J92" s="1">
        <v>106919</v>
      </c>
    </row>
    <row r="93" spans="1:10" x14ac:dyDescent="0.3">
      <c r="A93" s="1" t="s">
        <v>145</v>
      </c>
      <c r="B93" s="1">
        <v>55</v>
      </c>
      <c r="C93" s="1" t="s">
        <v>33</v>
      </c>
      <c r="D93" s="1" t="s">
        <v>40</v>
      </c>
      <c r="E93" s="1" t="s">
        <v>41</v>
      </c>
      <c r="F93" s="1" t="s">
        <v>34</v>
      </c>
      <c r="G93" s="1" t="s">
        <v>32</v>
      </c>
      <c r="H93" s="1" t="s">
        <v>42</v>
      </c>
      <c r="I93" s="1" t="s">
        <v>3</v>
      </c>
      <c r="J93" s="1">
        <v>97889</v>
      </c>
    </row>
    <row r="94" spans="1:10" x14ac:dyDescent="0.3">
      <c r="A94" s="1" t="s">
        <v>146</v>
      </c>
      <c r="B94" s="1">
        <v>54</v>
      </c>
      <c r="C94" s="1" t="s">
        <v>33</v>
      </c>
      <c r="D94" s="1" t="s">
        <v>43</v>
      </c>
      <c r="E94" s="1" t="s">
        <v>41</v>
      </c>
      <c r="F94" s="1" t="s">
        <v>25</v>
      </c>
      <c r="G94" s="1" t="s">
        <v>35</v>
      </c>
      <c r="H94" s="1" t="s">
        <v>45</v>
      </c>
      <c r="I94" s="1" t="s">
        <v>1</v>
      </c>
      <c r="J94" s="1">
        <v>53821</v>
      </c>
    </row>
    <row r="95" spans="1:10" x14ac:dyDescent="0.3">
      <c r="A95" s="1" t="s">
        <v>147</v>
      </c>
      <c r="B95" s="1">
        <v>44</v>
      </c>
      <c r="C95" s="1" t="s">
        <v>30</v>
      </c>
      <c r="D95" s="1" t="s">
        <v>43</v>
      </c>
      <c r="E95" s="1" t="s">
        <v>41</v>
      </c>
      <c r="F95" s="1" t="s">
        <v>22</v>
      </c>
      <c r="G95" s="1" t="s">
        <v>32</v>
      </c>
      <c r="H95" s="1" t="s">
        <v>45</v>
      </c>
      <c r="I95" s="1" t="s">
        <v>3</v>
      </c>
      <c r="J95" s="1">
        <v>67567</v>
      </c>
    </row>
    <row r="96" spans="1:10" x14ac:dyDescent="0.3">
      <c r="A96" s="1" t="s">
        <v>148</v>
      </c>
      <c r="B96" s="1">
        <v>45</v>
      </c>
      <c r="C96" s="1" t="s">
        <v>30</v>
      </c>
      <c r="D96" s="1" t="s">
        <v>40</v>
      </c>
      <c r="E96" s="1" t="s">
        <v>41</v>
      </c>
      <c r="F96" s="1" t="s">
        <v>25</v>
      </c>
      <c r="G96" s="1" t="s">
        <v>32</v>
      </c>
      <c r="H96" s="1" t="s">
        <v>45</v>
      </c>
      <c r="I96" s="1" t="s">
        <v>3</v>
      </c>
      <c r="J96" s="1">
        <v>54860</v>
      </c>
    </row>
    <row r="97" spans="1:10" x14ac:dyDescent="0.3">
      <c r="A97" s="1" t="s">
        <v>149</v>
      </c>
      <c r="B97" s="1">
        <v>58</v>
      </c>
      <c r="C97" s="1" t="s">
        <v>33</v>
      </c>
      <c r="D97" s="1" t="s">
        <v>43</v>
      </c>
      <c r="E97" s="1" t="s">
        <v>44</v>
      </c>
      <c r="F97" s="1" t="s">
        <v>25</v>
      </c>
      <c r="G97" s="1" t="s">
        <v>32</v>
      </c>
      <c r="H97" s="1" t="s">
        <v>45</v>
      </c>
      <c r="I97" s="1" t="s">
        <v>3</v>
      </c>
      <c r="J97" s="1">
        <v>51195</v>
      </c>
    </row>
    <row r="98" spans="1:10" x14ac:dyDescent="0.3">
      <c r="A98" s="1" t="s">
        <v>150</v>
      </c>
      <c r="B98" s="1">
        <v>56</v>
      </c>
      <c r="C98" s="1" t="s">
        <v>33</v>
      </c>
      <c r="D98" s="1" t="s">
        <v>40</v>
      </c>
      <c r="E98" s="1" t="s">
        <v>46</v>
      </c>
      <c r="F98" s="1" t="s">
        <v>25</v>
      </c>
      <c r="G98" s="1" t="s">
        <v>23</v>
      </c>
      <c r="H98" s="1" t="s">
        <v>42</v>
      </c>
      <c r="I98" s="1" t="s">
        <v>3</v>
      </c>
      <c r="J98" s="1">
        <v>107475</v>
      </c>
    </row>
    <row r="99" spans="1:10" x14ac:dyDescent="0.3">
      <c r="A99" s="1" t="s">
        <v>151</v>
      </c>
      <c r="B99" s="1">
        <v>43</v>
      </c>
      <c r="C99" s="1" t="s">
        <v>30</v>
      </c>
      <c r="D99" s="1" t="s">
        <v>40</v>
      </c>
      <c r="E99" s="1" t="s">
        <v>41</v>
      </c>
      <c r="F99" s="1" t="s">
        <v>28</v>
      </c>
      <c r="G99" s="1" t="s">
        <v>23</v>
      </c>
      <c r="H99" s="1" t="s">
        <v>39</v>
      </c>
      <c r="I99" s="1" t="s">
        <v>3</v>
      </c>
      <c r="J99" s="1">
        <v>117266</v>
      </c>
    </row>
    <row r="100" spans="1:10" x14ac:dyDescent="0.3">
      <c r="A100" s="1" t="s">
        <v>152</v>
      </c>
      <c r="B100" s="1">
        <v>48</v>
      </c>
      <c r="C100" s="1" t="s">
        <v>30</v>
      </c>
      <c r="D100" s="1" t="s">
        <v>40</v>
      </c>
      <c r="E100" s="1" t="s">
        <v>46</v>
      </c>
      <c r="F100" s="1" t="s">
        <v>28</v>
      </c>
      <c r="G100" s="1" t="s">
        <v>32</v>
      </c>
      <c r="H100" s="1" t="s">
        <v>42</v>
      </c>
      <c r="I100" s="1" t="s">
        <v>3</v>
      </c>
      <c r="J100" s="1">
        <v>51427</v>
      </c>
    </row>
    <row r="101" spans="1:10" x14ac:dyDescent="0.3">
      <c r="A101" s="1" t="s">
        <v>153</v>
      </c>
      <c r="B101" s="1">
        <v>56</v>
      </c>
      <c r="C101" s="1" t="s">
        <v>33</v>
      </c>
      <c r="D101" s="1" t="s">
        <v>40</v>
      </c>
      <c r="E101" s="1" t="s">
        <v>41</v>
      </c>
      <c r="F101" s="1" t="s">
        <v>25</v>
      </c>
      <c r="G101" s="1" t="s">
        <v>35</v>
      </c>
      <c r="H101" s="1" t="s">
        <v>45</v>
      </c>
      <c r="I101" s="1" t="s">
        <v>3</v>
      </c>
      <c r="J101" s="1">
        <v>57083</v>
      </c>
    </row>
    <row r="102" spans="1:10" x14ac:dyDescent="0.3">
      <c r="A102" s="1" t="s">
        <v>154</v>
      </c>
      <c r="B102" s="1">
        <v>22</v>
      </c>
      <c r="C102" s="1" t="s">
        <v>24</v>
      </c>
      <c r="D102" s="1" t="s">
        <v>40</v>
      </c>
      <c r="E102" s="1" t="s">
        <v>46</v>
      </c>
      <c r="F102" s="1" t="s">
        <v>22</v>
      </c>
      <c r="G102" s="1" t="s">
        <v>26</v>
      </c>
      <c r="H102" s="1" t="s">
        <v>42</v>
      </c>
      <c r="I102" s="1" t="s">
        <v>3</v>
      </c>
      <c r="J102" s="1">
        <v>117046</v>
      </c>
    </row>
    <row r="103" spans="1:10" x14ac:dyDescent="0.3">
      <c r="A103" s="1" t="s">
        <v>155</v>
      </c>
      <c r="B103" s="1">
        <v>56</v>
      </c>
      <c r="C103" s="1" t="s">
        <v>33</v>
      </c>
      <c r="D103" s="1" t="s">
        <v>43</v>
      </c>
      <c r="E103" s="1" t="s">
        <v>41</v>
      </c>
      <c r="F103" s="1" t="s">
        <v>34</v>
      </c>
      <c r="G103" s="1" t="s">
        <v>26</v>
      </c>
      <c r="H103" s="1" t="s">
        <v>39</v>
      </c>
      <c r="I103" s="1" t="s">
        <v>3</v>
      </c>
      <c r="J103" s="1">
        <v>87372</v>
      </c>
    </row>
    <row r="104" spans="1:10" x14ac:dyDescent="0.3">
      <c r="A104" s="1" t="s">
        <v>156</v>
      </c>
      <c r="B104" s="1">
        <v>58</v>
      </c>
      <c r="C104" s="1" t="s">
        <v>33</v>
      </c>
      <c r="D104" s="1" t="s">
        <v>43</v>
      </c>
      <c r="E104" s="1" t="s">
        <v>41</v>
      </c>
      <c r="F104" s="1" t="s">
        <v>22</v>
      </c>
      <c r="G104" s="1" t="s">
        <v>29</v>
      </c>
      <c r="H104" s="1" t="s">
        <v>39</v>
      </c>
      <c r="I104" s="1" t="s">
        <v>3</v>
      </c>
      <c r="J104" s="1">
        <v>74064</v>
      </c>
    </row>
    <row r="105" spans="1:10" x14ac:dyDescent="0.3">
      <c r="A105" s="1" t="s">
        <v>157</v>
      </c>
      <c r="B105" s="1">
        <v>35</v>
      </c>
      <c r="C105" s="1" t="s">
        <v>27</v>
      </c>
      <c r="D105" s="1" t="s">
        <v>40</v>
      </c>
      <c r="E105" s="1" t="s">
        <v>41</v>
      </c>
      <c r="F105" s="1" t="s">
        <v>31</v>
      </c>
      <c r="G105" s="1" t="s">
        <v>35</v>
      </c>
      <c r="H105" s="1" t="s">
        <v>42</v>
      </c>
      <c r="I105" s="1" t="s">
        <v>1</v>
      </c>
      <c r="J105" s="1">
        <v>37813</v>
      </c>
    </row>
    <row r="106" spans="1:10" x14ac:dyDescent="0.3">
      <c r="A106" s="1" t="s">
        <v>158</v>
      </c>
      <c r="B106" s="1">
        <v>24</v>
      </c>
      <c r="C106" s="1" t="s">
        <v>24</v>
      </c>
      <c r="D106" s="1" t="s">
        <v>40</v>
      </c>
      <c r="E106" s="1" t="s">
        <v>46</v>
      </c>
      <c r="F106" s="1" t="s">
        <v>28</v>
      </c>
      <c r="G106" s="1" t="s">
        <v>23</v>
      </c>
      <c r="H106" s="1" t="s">
        <v>42</v>
      </c>
      <c r="I106" s="1" t="s">
        <v>3</v>
      </c>
      <c r="J106" s="1">
        <v>61598</v>
      </c>
    </row>
    <row r="107" spans="1:10" x14ac:dyDescent="0.3">
      <c r="A107" s="1" t="s">
        <v>159</v>
      </c>
      <c r="B107" s="1">
        <v>22</v>
      </c>
      <c r="C107" s="1" t="s">
        <v>24</v>
      </c>
      <c r="D107" s="1" t="s">
        <v>43</v>
      </c>
      <c r="E107" s="1" t="s">
        <v>41</v>
      </c>
      <c r="F107" s="1" t="s">
        <v>34</v>
      </c>
      <c r="G107" s="1" t="s">
        <v>32</v>
      </c>
      <c r="H107" s="1" t="s">
        <v>42</v>
      </c>
      <c r="I107" s="1" t="s">
        <v>1</v>
      </c>
      <c r="J107" s="1">
        <v>57082</v>
      </c>
    </row>
    <row r="108" spans="1:10" x14ac:dyDescent="0.3">
      <c r="A108" s="1" t="s">
        <v>160</v>
      </c>
      <c r="B108" s="1">
        <v>26</v>
      </c>
      <c r="C108" s="1" t="s">
        <v>24</v>
      </c>
      <c r="D108" s="1" t="s">
        <v>43</v>
      </c>
      <c r="E108" s="1" t="s">
        <v>47</v>
      </c>
      <c r="F108" s="1" t="s">
        <v>34</v>
      </c>
      <c r="G108" s="1" t="s">
        <v>29</v>
      </c>
      <c r="H108" s="1" t="s">
        <v>45</v>
      </c>
      <c r="I108" s="1" t="s">
        <v>1</v>
      </c>
      <c r="J108" s="1">
        <v>59241</v>
      </c>
    </row>
    <row r="109" spans="1:10" x14ac:dyDescent="0.3">
      <c r="A109" s="1" t="s">
        <v>161</v>
      </c>
      <c r="B109" s="1">
        <v>47</v>
      </c>
      <c r="C109" s="1" t="s">
        <v>30</v>
      </c>
      <c r="D109" s="1" t="s">
        <v>40</v>
      </c>
      <c r="E109" s="1" t="s">
        <v>44</v>
      </c>
      <c r="F109" s="1" t="s">
        <v>31</v>
      </c>
      <c r="G109" s="1" t="s">
        <v>26</v>
      </c>
      <c r="H109" s="1" t="s">
        <v>42</v>
      </c>
      <c r="I109" s="1" t="s">
        <v>1</v>
      </c>
      <c r="J109" s="1">
        <v>74569</v>
      </c>
    </row>
    <row r="110" spans="1:10" x14ac:dyDescent="0.3">
      <c r="A110" s="1" t="s">
        <v>162</v>
      </c>
      <c r="B110" s="1">
        <v>35</v>
      </c>
      <c r="C110" s="1" t="s">
        <v>27</v>
      </c>
      <c r="D110" s="1" t="s">
        <v>43</v>
      </c>
      <c r="E110" s="1" t="s">
        <v>41</v>
      </c>
      <c r="F110" s="1" t="s">
        <v>31</v>
      </c>
      <c r="G110" s="1" t="s">
        <v>23</v>
      </c>
      <c r="H110" s="1" t="s">
        <v>42</v>
      </c>
      <c r="I110" s="1" t="s">
        <v>3</v>
      </c>
      <c r="J110" s="1">
        <v>41745</v>
      </c>
    </row>
    <row r="111" spans="1:10" x14ac:dyDescent="0.3">
      <c r="A111" s="1" t="s">
        <v>163</v>
      </c>
      <c r="B111" s="1">
        <v>48</v>
      </c>
      <c r="C111" s="1" t="s">
        <v>30</v>
      </c>
      <c r="D111" s="1" t="s">
        <v>40</v>
      </c>
      <c r="E111" s="1" t="s">
        <v>47</v>
      </c>
      <c r="F111" s="1" t="s">
        <v>25</v>
      </c>
      <c r="G111" s="1" t="s">
        <v>23</v>
      </c>
      <c r="H111" s="1" t="s">
        <v>42</v>
      </c>
      <c r="I111" s="1" t="s">
        <v>3</v>
      </c>
      <c r="J111" s="1">
        <v>56029</v>
      </c>
    </row>
    <row r="112" spans="1:10" x14ac:dyDescent="0.3">
      <c r="A112" s="1" t="s">
        <v>164</v>
      </c>
      <c r="B112" s="1">
        <v>30</v>
      </c>
      <c r="C112" s="1" t="s">
        <v>27</v>
      </c>
      <c r="D112" s="1" t="s">
        <v>43</v>
      </c>
      <c r="E112" s="1" t="s">
        <v>41</v>
      </c>
      <c r="F112" s="1" t="s">
        <v>28</v>
      </c>
      <c r="G112" s="1" t="s">
        <v>32</v>
      </c>
      <c r="H112" s="1" t="s">
        <v>39</v>
      </c>
      <c r="I112" s="1" t="s">
        <v>3</v>
      </c>
      <c r="J112" s="1">
        <v>43025</v>
      </c>
    </row>
    <row r="113" spans="1:10" x14ac:dyDescent="0.3">
      <c r="A113" s="1" t="s">
        <v>165</v>
      </c>
      <c r="B113" s="1">
        <v>36</v>
      </c>
      <c r="C113" s="1" t="s">
        <v>27</v>
      </c>
      <c r="D113" s="1" t="s">
        <v>40</v>
      </c>
      <c r="E113" s="1" t="s">
        <v>41</v>
      </c>
      <c r="F113" s="1" t="s">
        <v>28</v>
      </c>
      <c r="G113" s="1" t="s">
        <v>26</v>
      </c>
      <c r="H113" s="1" t="s">
        <v>39</v>
      </c>
      <c r="I113" s="1" t="s">
        <v>1</v>
      </c>
      <c r="J113" s="1">
        <v>44288</v>
      </c>
    </row>
    <row r="114" spans="1:10" x14ac:dyDescent="0.3">
      <c r="A114" s="1" t="s">
        <v>166</v>
      </c>
      <c r="B114" s="1">
        <v>36</v>
      </c>
      <c r="C114" s="1" t="s">
        <v>27</v>
      </c>
      <c r="D114" s="1" t="s">
        <v>43</v>
      </c>
      <c r="E114" s="1" t="s">
        <v>41</v>
      </c>
      <c r="F114" s="1" t="s">
        <v>22</v>
      </c>
      <c r="G114" s="1" t="s">
        <v>35</v>
      </c>
      <c r="H114" s="1" t="s">
        <v>45</v>
      </c>
      <c r="I114" s="1" t="s">
        <v>3</v>
      </c>
      <c r="J114" s="1">
        <v>119186</v>
      </c>
    </row>
    <row r="115" spans="1:10" x14ac:dyDescent="0.3">
      <c r="A115" s="1" t="s">
        <v>167</v>
      </c>
      <c r="B115" s="1">
        <v>47</v>
      </c>
      <c r="C115" s="1" t="s">
        <v>30</v>
      </c>
      <c r="D115" s="1" t="s">
        <v>40</v>
      </c>
      <c r="E115" s="1" t="s">
        <v>41</v>
      </c>
      <c r="F115" s="1" t="s">
        <v>25</v>
      </c>
      <c r="G115" s="1" t="s">
        <v>23</v>
      </c>
      <c r="H115" s="1" t="s">
        <v>45</v>
      </c>
      <c r="I115" s="1" t="s">
        <v>3</v>
      </c>
      <c r="J115" s="1">
        <v>36540</v>
      </c>
    </row>
    <row r="116" spans="1:10" x14ac:dyDescent="0.3">
      <c r="A116" s="1" t="s">
        <v>168</v>
      </c>
      <c r="B116" s="1">
        <v>34</v>
      </c>
      <c r="C116" s="1" t="s">
        <v>27</v>
      </c>
      <c r="D116" s="1" t="s">
        <v>43</v>
      </c>
      <c r="E116" s="1" t="s">
        <v>46</v>
      </c>
      <c r="F116" s="1" t="s">
        <v>25</v>
      </c>
      <c r="G116" s="1" t="s">
        <v>32</v>
      </c>
      <c r="H116" s="1" t="s">
        <v>39</v>
      </c>
      <c r="I116" s="1" t="s">
        <v>3</v>
      </c>
      <c r="J116" s="1">
        <v>111958</v>
      </c>
    </row>
    <row r="117" spans="1:10" x14ac:dyDescent="0.3">
      <c r="A117" s="1" t="s">
        <v>169</v>
      </c>
      <c r="B117" s="1">
        <v>53</v>
      </c>
      <c r="C117" s="1" t="s">
        <v>33</v>
      </c>
      <c r="D117" s="1" t="s">
        <v>43</v>
      </c>
      <c r="E117" s="1" t="s">
        <v>44</v>
      </c>
      <c r="F117" s="1" t="s">
        <v>25</v>
      </c>
      <c r="G117" s="1" t="s">
        <v>35</v>
      </c>
      <c r="H117" s="1" t="s">
        <v>39</v>
      </c>
      <c r="I117" s="1" t="s">
        <v>3</v>
      </c>
      <c r="J117" s="1">
        <v>98878</v>
      </c>
    </row>
    <row r="118" spans="1:10" x14ac:dyDescent="0.3">
      <c r="A118" s="1" t="s">
        <v>170</v>
      </c>
      <c r="B118" s="1">
        <v>53</v>
      </c>
      <c r="C118" s="1" t="s">
        <v>33</v>
      </c>
      <c r="D118" s="1" t="s">
        <v>40</v>
      </c>
      <c r="E118" s="1" t="s">
        <v>41</v>
      </c>
      <c r="F118" s="1" t="s">
        <v>25</v>
      </c>
      <c r="G118" s="1" t="s">
        <v>26</v>
      </c>
      <c r="H118" s="1" t="s">
        <v>39</v>
      </c>
      <c r="I118" s="1" t="s">
        <v>3</v>
      </c>
      <c r="J118" s="1">
        <v>71846</v>
      </c>
    </row>
    <row r="119" spans="1:10" x14ac:dyDescent="0.3">
      <c r="A119" s="1" t="s">
        <v>171</v>
      </c>
      <c r="B119" s="1">
        <v>25</v>
      </c>
      <c r="C119" s="1" t="s">
        <v>24</v>
      </c>
      <c r="D119" s="1" t="s">
        <v>43</v>
      </c>
      <c r="E119" s="1" t="s">
        <v>41</v>
      </c>
      <c r="F119" s="1" t="s">
        <v>28</v>
      </c>
      <c r="G119" s="1" t="s">
        <v>23</v>
      </c>
      <c r="H119" s="1" t="s">
        <v>42</v>
      </c>
      <c r="I119" s="1" t="s">
        <v>3</v>
      </c>
      <c r="J119" s="1">
        <v>105932</v>
      </c>
    </row>
    <row r="120" spans="1:10" x14ac:dyDescent="0.3">
      <c r="A120" s="1" t="s">
        <v>172</v>
      </c>
      <c r="B120" s="1">
        <v>51</v>
      </c>
      <c r="C120" s="1" t="s">
        <v>33</v>
      </c>
      <c r="D120" s="1" t="s">
        <v>40</v>
      </c>
      <c r="E120" s="1" t="s">
        <v>46</v>
      </c>
      <c r="F120" s="1" t="s">
        <v>28</v>
      </c>
      <c r="G120" s="1" t="s">
        <v>35</v>
      </c>
      <c r="H120" s="1" t="s">
        <v>42</v>
      </c>
      <c r="I120" s="1" t="s">
        <v>3</v>
      </c>
      <c r="J120" s="1">
        <v>47482</v>
      </c>
    </row>
    <row r="121" spans="1:10" x14ac:dyDescent="0.3">
      <c r="A121" s="1" t="s">
        <v>173</v>
      </c>
      <c r="B121" s="1">
        <v>58</v>
      </c>
      <c r="C121" s="1" t="s">
        <v>33</v>
      </c>
      <c r="D121" s="1" t="s">
        <v>43</v>
      </c>
      <c r="E121" s="1" t="s">
        <v>41</v>
      </c>
      <c r="F121" s="1" t="s">
        <v>25</v>
      </c>
      <c r="G121" s="1" t="s">
        <v>35</v>
      </c>
      <c r="H121" s="1" t="s">
        <v>39</v>
      </c>
      <c r="I121" s="1" t="s">
        <v>1</v>
      </c>
      <c r="J121" s="1">
        <v>53411</v>
      </c>
    </row>
    <row r="122" spans="1:10" x14ac:dyDescent="0.3">
      <c r="A122" s="1" t="s">
        <v>174</v>
      </c>
      <c r="B122" s="1">
        <v>44</v>
      </c>
      <c r="C122" s="1" t="s">
        <v>30</v>
      </c>
      <c r="D122" s="1" t="s">
        <v>40</v>
      </c>
      <c r="E122" s="1" t="s">
        <v>41</v>
      </c>
      <c r="F122" s="1" t="s">
        <v>22</v>
      </c>
      <c r="G122" s="1" t="s">
        <v>35</v>
      </c>
      <c r="H122" s="1" t="s">
        <v>42</v>
      </c>
      <c r="I122" s="1" t="s">
        <v>1</v>
      </c>
      <c r="J122" s="1">
        <v>80975</v>
      </c>
    </row>
    <row r="123" spans="1:10" x14ac:dyDescent="0.3">
      <c r="A123" s="1" t="s">
        <v>175</v>
      </c>
      <c r="B123" s="1">
        <v>36</v>
      </c>
      <c r="C123" s="1" t="s">
        <v>27</v>
      </c>
      <c r="D123" s="1" t="s">
        <v>43</v>
      </c>
      <c r="E123" s="1" t="s">
        <v>46</v>
      </c>
      <c r="F123" s="1" t="s">
        <v>34</v>
      </c>
      <c r="G123" s="1" t="s">
        <v>23</v>
      </c>
      <c r="H123" s="1" t="s">
        <v>42</v>
      </c>
      <c r="I123" s="1" t="s">
        <v>3</v>
      </c>
      <c r="J123" s="1">
        <v>90545</v>
      </c>
    </row>
    <row r="124" spans="1:10" x14ac:dyDescent="0.3">
      <c r="A124" s="1" t="s">
        <v>176</v>
      </c>
      <c r="B124" s="1">
        <v>50</v>
      </c>
      <c r="C124" s="1" t="s">
        <v>33</v>
      </c>
      <c r="D124" s="1" t="s">
        <v>40</v>
      </c>
      <c r="E124" s="1" t="s">
        <v>46</v>
      </c>
      <c r="F124" s="1" t="s">
        <v>34</v>
      </c>
      <c r="G124" s="1" t="s">
        <v>23</v>
      </c>
      <c r="H124" s="1" t="s">
        <v>45</v>
      </c>
      <c r="I124" s="1" t="s">
        <v>1</v>
      </c>
      <c r="J124" s="1">
        <v>108797</v>
      </c>
    </row>
    <row r="125" spans="1:10" x14ac:dyDescent="0.3">
      <c r="A125" s="1" t="s">
        <v>177</v>
      </c>
      <c r="B125" s="1">
        <v>57</v>
      </c>
      <c r="C125" s="1" t="s">
        <v>33</v>
      </c>
      <c r="D125" s="1" t="s">
        <v>43</v>
      </c>
      <c r="E125" s="1" t="s">
        <v>41</v>
      </c>
      <c r="F125" s="1" t="s">
        <v>22</v>
      </c>
      <c r="G125" s="1" t="s">
        <v>29</v>
      </c>
      <c r="H125" s="1" t="s">
        <v>39</v>
      </c>
      <c r="I125" s="1" t="s">
        <v>3</v>
      </c>
      <c r="J125" s="1">
        <v>82307</v>
      </c>
    </row>
    <row r="126" spans="1:10" x14ac:dyDescent="0.3">
      <c r="A126" s="1" t="s">
        <v>178</v>
      </c>
      <c r="B126" s="1">
        <v>34</v>
      </c>
      <c r="C126" s="1" t="s">
        <v>27</v>
      </c>
      <c r="D126" s="1" t="s">
        <v>40</v>
      </c>
      <c r="E126" s="1" t="s">
        <v>41</v>
      </c>
      <c r="F126" s="1" t="s">
        <v>25</v>
      </c>
      <c r="G126" s="1" t="s">
        <v>26</v>
      </c>
      <c r="H126" s="1" t="s">
        <v>39</v>
      </c>
      <c r="I126" s="1" t="s">
        <v>3</v>
      </c>
      <c r="J126" s="1">
        <v>33093</v>
      </c>
    </row>
    <row r="127" spans="1:10" x14ac:dyDescent="0.3">
      <c r="A127" s="1" t="s">
        <v>179</v>
      </c>
      <c r="B127" s="1">
        <v>53</v>
      </c>
      <c r="C127" s="1" t="s">
        <v>33</v>
      </c>
      <c r="D127" s="1" t="s">
        <v>43</v>
      </c>
      <c r="E127" s="1" t="s">
        <v>41</v>
      </c>
      <c r="F127" s="1" t="s">
        <v>28</v>
      </c>
      <c r="G127" s="1" t="s">
        <v>32</v>
      </c>
      <c r="H127" s="1" t="s">
        <v>42</v>
      </c>
      <c r="I127" s="1" t="s">
        <v>3</v>
      </c>
      <c r="J127" s="1">
        <v>107258</v>
      </c>
    </row>
    <row r="128" spans="1:10" x14ac:dyDescent="0.3">
      <c r="A128" s="1" t="s">
        <v>180</v>
      </c>
      <c r="B128" s="1">
        <v>28</v>
      </c>
      <c r="C128" s="1" t="s">
        <v>24</v>
      </c>
      <c r="D128" s="1" t="s">
        <v>40</v>
      </c>
      <c r="E128" s="1" t="s">
        <v>41</v>
      </c>
      <c r="F128" s="1" t="s">
        <v>34</v>
      </c>
      <c r="G128" s="1" t="s">
        <v>35</v>
      </c>
      <c r="H128" s="1" t="s">
        <v>39</v>
      </c>
      <c r="I128" s="1" t="s">
        <v>3</v>
      </c>
      <c r="J128" s="1">
        <v>52042</v>
      </c>
    </row>
    <row r="129" spans="1:10" x14ac:dyDescent="0.3">
      <c r="A129" s="1" t="s">
        <v>181</v>
      </c>
      <c r="B129" s="1">
        <v>43</v>
      </c>
      <c r="C129" s="1" t="s">
        <v>30</v>
      </c>
      <c r="D129" s="1" t="s">
        <v>40</v>
      </c>
      <c r="E129" s="1" t="s">
        <v>41</v>
      </c>
      <c r="F129" s="1" t="s">
        <v>31</v>
      </c>
      <c r="G129" s="1" t="s">
        <v>29</v>
      </c>
      <c r="H129" s="1" t="s">
        <v>45</v>
      </c>
      <c r="I129" s="1" t="s">
        <v>3</v>
      </c>
      <c r="J129" s="1">
        <v>82930</v>
      </c>
    </row>
    <row r="130" spans="1:10" x14ac:dyDescent="0.3">
      <c r="A130" s="1" t="s">
        <v>182</v>
      </c>
      <c r="B130" s="1">
        <v>49</v>
      </c>
      <c r="C130" s="1" t="s">
        <v>30</v>
      </c>
      <c r="D130" s="1" t="s">
        <v>40</v>
      </c>
      <c r="E130" s="1" t="s">
        <v>41</v>
      </c>
      <c r="F130" s="1" t="s">
        <v>31</v>
      </c>
      <c r="G130" s="1" t="s">
        <v>32</v>
      </c>
      <c r="H130" s="1" t="s">
        <v>45</v>
      </c>
      <c r="I130" s="1" t="s">
        <v>3</v>
      </c>
      <c r="J130" s="1">
        <v>74413</v>
      </c>
    </row>
    <row r="131" spans="1:10" x14ac:dyDescent="0.3">
      <c r="A131" s="1" t="s">
        <v>183</v>
      </c>
      <c r="B131" s="1">
        <v>23</v>
      </c>
      <c r="C131" s="1" t="s">
        <v>24</v>
      </c>
      <c r="D131" s="1" t="s">
        <v>43</v>
      </c>
      <c r="E131" s="1" t="s">
        <v>44</v>
      </c>
      <c r="F131" s="1" t="s">
        <v>22</v>
      </c>
      <c r="G131" s="1" t="s">
        <v>29</v>
      </c>
      <c r="H131" s="1" t="s">
        <v>45</v>
      </c>
      <c r="I131" s="1" t="s">
        <v>3</v>
      </c>
      <c r="J131" s="1">
        <v>63756</v>
      </c>
    </row>
    <row r="132" spans="1:10" x14ac:dyDescent="0.3">
      <c r="A132" s="1" t="s">
        <v>184</v>
      </c>
      <c r="B132" s="1">
        <v>27</v>
      </c>
      <c r="C132" s="1" t="s">
        <v>24</v>
      </c>
      <c r="D132" s="1" t="s">
        <v>40</v>
      </c>
      <c r="E132" s="1" t="s">
        <v>44</v>
      </c>
      <c r="F132" s="1" t="s">
        <v>25</v>
      </c>
      <c r="G132" s="1" t="s">
        <v>23</v>
      </c>
      <c r="H132" s="1" t="s">
        <v>39</v>
      </c>
      <c r="I132" s="1" t="s">
        <v>3</v>
      </c>
      <c r="J132" s="1">
        <v>83268</v>
      </c>
    </row>
    <row r="133" spans="1:10" x14ac:dyDescent="0.3">
      <c r="A133" s="1" t="s">
        <v>185</v>
      </c>
      <c r="B133" s="1">
        <v>49</v>
      </c>
      <c r="C133" s="1" t="s">
        <v>30</v>
      </c>
      <c r="D133" s="1" t="s">
        <v>43</v>
      </c>
      <c r="E133" s="1" t="s">
        <v>47</v>
      </c>
      <c r="F133" s="1" t="s">
        <v>34</v>
      </c>
      <c r="G133" s="1" t="s">
        <v>35</v>
      </c>
      <c r="H133" s="1" t="s">
        <v>39</v>
      </c>
      <c r="I133" s="1" t="s">
        <v>3</v>
      </c>
      <c r="J133" s="1">
        <v>69214</v>
      </c>
    </row>
    <row r="134" spans="1:10" x14ac:dyDescent="0.3">
      <c r="A134" s="1" t="s">
        <v>186</v>
      </c>
      <c r="B134" s="1">
        <v>49</v>
      </c>
      <c r="C134" s="1" t="s">
        <v>30</v>
      </c>
      <c r="D134" s="1" t="s">
        <v>40</v>
      </c>
      <c r="E134" s="1" t="s">
        <v>46</v>
      </c>
      <c r="F134" s="1" t="s">
        <v>25</v>
      </c>
      <c r="G134" s="1" t="s">
        <v>32</v>
      </c>
      <c r="H134" s="1" t="s">
        <v>39</v>
      </c>
      <c r="I134" s="1" t="s">
        <v>3</v>
      </c>
      <c r="J134" s="1">
        <v>111871</v>
      </c>
    </row>
    <row r="135" spans="1:10" x14ac:dyDescent="0.3">
      <c r="A135" s="1" t="s">
        <v>187</v>
      </c>
      <c r="B135" s="1">
        <v>41</v>
      </c>
      <c r="C135" s="1" t="s">
        <v>30</v>
      </c>
      <c r="D135" s="1" t="s">
        <v>43</v>
      </c>
      <c r="E135" s="1" t="s">
        <v>41</v>
      </c>
      <c r="F135" s="1" t="s">
        <v>34</v>
      </c>
      <c r="G135" s="1" t="s">
        <v>32</v>
      </c>
      <c r="H135" s="1" t="s">
        <v>39</v>
      </c>
      <c r="I135" s="1" t="s">
        <v>3</v>
      </c>
      <c r="J135" s="1">
        <v>58602</v>
      </c>
    </row>
    <row r="136" spans="1:10" x14ac:dyDescent="0.3">
      <c r="A136" s="1" t="s">
        <v>188</v>
      </c>
      <c r="B136" s="1">
        <v>51</v>
      </c>
      <c r="C136" s="1" t="s">
        <v>33</v>
      </c>
      <c r="D136" s="1" t="s">
        <v>40</v>
      </c>
      <c r="E136" s="1" t="s">
        <v>47</v>
      </c>
      <c r="F136" s="1" t="s">
        <v>22</v>
      </c>
      <c r="G136" s="1" t="s">
        <v>32</v>
      </c>
      <c r="H136" s="1" t="s">
        <v>39</v>
      </c>
      <c r="I136" s="1" t="s">
        <v>3</v>
      </c>
      <c r="J136" s="1">
        <v>83331</v>
      </c>
    </row>
    <row r="137" spans="1:10" x14ac:dyDescent="0.3">
      <c r="A137" s="1" t="s">
        <v>189</v>
      </c>
      <c r="B137" s="1">
        <v>32</v>
      </c>
      <c r="C137" s="1" t="s">
        <v>27</v>
      </c>
      <c r="D137" s="1" t="s">
        <v>43</v>
      </c>
      <c r="E137" s="1" t="s">
        <v>46</v>
      </c>
      <c r="F137" s="1" t="s">
        <v>22</v>
      </c>
      <c r="G137" s="1" t="s">
        <v>32</v>
      </c>
      <c r="H137" s="1" t="s">
        <v>45</v>
      </c>
      <c r="I137" s="1" t="s">
        <v>3</v>
      </c>
      <c r="J137" s="1">
        <v>78901</v>
      </c>
    </row>
    <row r="138" spans="1:10" x14ac:dyDescent="0.3">
      <c r="A138" s="1" t="s">
        <v>190</v>
      </c>
      <c r="B138" s="1">
        <v>49</v>
      </c>
      <c r="C138" s="1" t="s">
        <v>30</v>
      </c>
      <c r="D138" s="1" t="s">
        <v>43</v>
      </c>
      <c r="E138" s="1" t="s">
        <v>41</v>
      </c>
      <c r="F138" s="1" t="s">
        <v>31</v>
      </c>
      <c r="G138" s="1" t="s">
        <v>32</v>
      </c>
      <c r="H138" s="1" t="s">
        <v>42</v>
      </c>
      <c r="I138" s="1" t="s">
        <v>3</v>
      </c>
      <c r="J138" s="1">
        <v>93416</v>
      </c>
    </row>
    <row r="139" spans="1:10" x14ac:dyDescent="0.3">
      <c r="A139" s="1" t="s">
        <v>191</v>
      </c>
      <c r="B139" s="1">
        <v>46</v>
      </c>
      <c r="C139" s="1" t="s">
        <v>30</v>
      </c>
      <c r="D139" s="1" t="s">
        <v>40</v>
      </c>
      <c r="E139" s="1" t="s">
        <v>41</v>
      </c>
      <c r="F139" s="1" t="s">
        <v>25</v>
      </c>
      <c r="G139" s="1" t="s">
        <v>29</v>
      </c>
      <c r="H139" s="1" t="s">
        <v>45</v>
      </c>
      <c r="I139" s="1" t="s">
        <v>3</v>
      </c>
      <c r="J139" s="1">
        <v>62196</v>
      </c>
    </row>
    <row r="140" spans="1:10" x14ac:dyDescent="0.3">
      <c r="A140" s="1" t="s">
        <v>192</v>
      </c>
      <c r="B140" s="1">
        <v>54</v>
      </c>
      <c r="C140" s="1" t="s">
        <v>33</v>
      </c>
      <c r="D140" s="1" t="s">
        <v>43</v>
      </c>
      <c r="E140" s="1" t="s">
        <v>44</v>
      </c>
      <c r="F140" s="1" t="s">
        <v>31</v>
      </c>
      <c r="G140" s="1" t="s">
        <v>35</v>
      </c>
      <c r="H140" s="1" t="s">
        <v>39</v>
      </c>
      <c r="I140" s="1" t="s">
        <v>3</v>
      </c>
      <c r="J140" s="1">
        <v>35626</v>
      </c>
    </row>
    <row r="141" spans="1:10" x14ac:dyDescent="0.3">
      <c r="A141" s="1" t="s">
        <v>193</v>
      </c>
      <c r="B141" s="1">
        <v>22</v>
      </c>
      <c r="C141" s="1" t="s">
        <v>24</v>
      </c>
      <c r="D141" s="1" t="s">
        <v>43</v>
      </c>
      <c r="E141" s="1" t="s">
        <v>44</v>
      </c>
      <c r="F141" s="1" t="s">
        <v>25</v>
      </c>
      <c r="G141" s="1" t="s">
        <v>23</v>
      </c>
      <c r="H141" s="1" t="s">
        <v>45</v>
      </c>
      <c r="I141" s="1" t="s">
        <v>1</v>
      </c>
      <c r="J141" s="1">
        <v>37424</v>
      </c>
    </row>
    <row r="142" spans="1:10" x14ac:dyDescent="0.3">
      <c r="A142" s="1" t="s">
        <v>194</v>
      </c>
      <c r="B142" s="1">
        <v>48</v>
      </c>
      <c r="C142" s="1" t="s">
        <v>30</v>
      </c>
      <c r="D142" s="1" t="s">
        <v>40</v>
      </c>
      <c r="E142" s="1" t="s">
        <v>46</v>
      </c>
      <c r="F142" s="1" t="s">
        <v>31</v>
      </c>
      <c r="G142" s="1" t="s">
        <v>23</v>
      </c>
      <c r="H142" s="1" t="s">
        <v>39</v>
      </c>
      <c r="I142" s="1" t="s">
        <v>1</v>
      </c>
      <c r="J142" s="1">
        <v>42857</v>
      </c>
    </row>
    <row r="143" spans="1:10" x14ac:dyDescent="0.3">
      <c r="A143" s="1" t="s">
        <v>195</v>
      </c>
      <c r="B143" s="1">
        <v>34</v>
      </c>
      <c r="C143" s="1" t="s">
        <v>27</v>
      </c>
      <c r="D143" s="1" t="s">
        <v>43</v>
      </c>
      <c r="E143" s="1" t="s">
        <v>41</v>
      </c>
      <c r="F143" s="1" t="s">
        <v>28</v>
      </c>
      <c r="G143" s="1" t="s">
        <v>23</v>
      </c>
      <c r="H143" s="1" t="s">
        <v>39</v>
      </c>
      <c r="I143" s="1" t="s">
        <v>3</v>
      </c>
      <c r="J143" s="1">
        <v>49982</v>
      </c>
    </row>
    <row r="144" spans="1:10" x14ac:dyDescent="0.3">
      <c r="A144" s="1" t="s">
        <v>196</v>
      </c>
      <c r="B144" s="1">
        <v>24</v>
      </c>
      <c r="C144" s="1" t="s">
        <v>24</v>
      </c>
      <c r="D144" s="1" t="s">
        <v>43</v>
      </c>
      <c r="E144" s="1" t="s">
        <v>41</v>
      </c>
      <c r="F144" s="1" t="s">
        <v>28</v>
      </c>
      <c r="G144" s="1" t="s">
        <v>23</v>
      </c>
      <c r="H144" s="1" t="s">
        <v>45</v>
      </c>
      <c r="I144" s="1" t="s">
        <v>3</v>
      </c>
      <c r="J144" s="1">
        <v>106961</v>
      </c>
    </row>
    <row r="145" spans="1:10" x14ac:dyDescent="0.3">
      <c r="A145" s="1" t="s">
        <v>197</v>
      </c>
      <c r="B145" s="1">
        <v>27</v>
      </c>
      <c r="C145" s="1" t="s">
        <v>24</v>
      </c>
      <c r="D145" s="1" t="s">
        <v>43</v>
      </c>
      <c r="E145" s="1" t="s">
        <v>47</v>
      </c>
      <c r="F145" s="1" t="s">
        <v>28</v>
      </c>
      <c r="G145" s="1" t="s">
        <v>29</v>
      </c>
      <c r="H145" s="1" t="s">
        <v>39</v>
      </c>
      <c r="I145" s="1" t="s">
        <v>3</v>
      </c>
      <c r="J145" s="1">
        <v>31980</v>
      </c>
    </row>
    <row r="146" spans="1:10" x14ac:dyDescent="0.3">
      <c r="A146" s="1" t="s">
        <v>198</v>
      </c>
      <c r="B146" s="1">
        <v>29</v>
      </c>
      <c r="C146" s="1" t="s">
        <v>24</v>
      </c>
      <c r="D146" s="1" t="s">
        <v>40</v>
      </c>
      <c r="E146" s="1" t="s">
        <v>46</v>
      </c>
      <c r="F146" s="1" t="s">
        <v>28</v>
      </c>
      <c r="G146" s="1" t="s">
        <v>26</v>
      </c>
      <c r="H146" s="1" t="s">
        <v>42</v>
      </c>
      <c r="I146" s="1" t="s">
        <v>1</v>
      </c>
      <c r="J146" s="1">
        <v>78290</v>
      </c>
    </row>
    <row r="147" spans="1:10" x14ac:dyDescent="0.3">
      <c r="A147" s="1" t="s">
        <v>199</v>
      </c>
      <c r="B147" s="1">
        <v>48</v>
      </c>
      <c r="C147" s="1" t="s">
        <v>30</v>
      </c>
      <c r="D147" s="1" t="s">
        <v>43</v>
      </c>
      <c r="E147" s="1" t="s">
        <v>44</v>
      </c>
      <c r="F147" s="1" t="s">
        <v>34</v>
      </c>
      <c r="G147" s="1" t="s">
        <v>35</v>
      </c>
      <c r="H147" s="1" t="s">
        <v>39</v>
      </c>
      <c r="I147" s="1" t="s">
        <v>1</v>
      </c>
      <c r="J147" s="1">
        <v>56431</v>
      </c>
    </row>
    <row r="148" spans="1:10" x14ac:dyDescent="0.3">
      <c r="A148" s="1" t="s">
        <v>200</v>
      </c>
      <c r="B148" s="1">
        <v>30</v>
      </c>
      <c r="C148" s="1" t="s">
        <v>27</v>
      </c>
      <c r="D148" s="1" t="s">
        <v>40</v>
      </c>
      <c r="E148" s="1" t="s">
        <v>47</v>
      </c>
      <c r="F148" s="1" t="s">
        <v>28</v>
      </c>
      <c r="G148" s="1" t="s">
        <v>32</v>
      </c>
      <c r="H148" s="1" t="s">
        <v>42</v>
      </c>
      <c r="I148" s="1" t="s">
        <v>1</v>
      </c>
      <c r="J148" s="1">
        <v>114976</v>
      </c>
    </row>
    <row r="149" spans="1:10" x14ac:dyDescent="0.3">
      <c r="A149" s="1" t="s">
        <v>201</v>
      </c>
      <c r="B149" s="1">
        <v>58</v>
      </c>
      <c r="C149" s="1" t="s">
        <v>33</v>
      </c>
      <c r="D149" s="1" t="s">
        <v>43</v>
      </c>
      <c r="E149" s="1" t="s">
        <v>47</v>
      </c>
      <c r="F149" s="1" t="s">
        <v>22</v>
      </c>
      <c r="G149" s="1" t="s">
        <v>26</v>
      </c>
      <c r="H149" s="1" t="s">
        <v>42</v>
      </c>
      <c r="I149" s="1" t="s">
        <v>3</v>
      </c>
      <c r="J149" s="1">
        <v>112711</v>
      </c>
    </row>
    <row r="150" spans="1:10" x14ac:dyDescent="0.3">
      <c r="A150" s="1" t="s">
        <v>202</v>
      </c>
      <c r="B150" s="1">
        <v>54</v>
      </c>
      <c r="C150" s="1" t="s">
        <v>33</v>
      </c>
      <c r="D150" s="1" t="s">
        <v>43</v>
      </c>
      <c r="E150" s="1" t="s">
        <v>47</v>
      </c>
      <c r="F150" s="1" t="s">
        <v>22</v>
      </c>
      <c r="G150" s="1" t="s">
        <v>23</v>
      </c>
      <c r="H150" s="1" t="s">
        <v>39</v>
      </c>
      <c r="I150" s="1" t="s">
        <v>3</v>
      </c>
      <c r="J150" s="1">
        <v>56385</v>
      </c>
    </row>
    <row r="151" spans="1:10" x14ac:dyDescent="0.3">
      <c r="A151" s="1" t="s">
        <v>203</v>
      </c>
      <c r="B151" s="1">
        <v>45</v>
      </c>
      <c r="C151" s="1" t="s">
        <v>30</v>
      </c>
      <c r="D151" s="1" t="s">
        <v>43</v>
      </c>
      <c r="E151" s="1" t="s">
        <v>44</v>
      </c>
      <c r="F151" s="1" t="s">
        <v>34</v>
      </c>
      <c r="G151" s="1" t="s">
        <v>26</v>
      </c>
      <c r="H151" s="1" t="s">
        <v>45</v>
      </c>
      <c r="I151" s="1" t="s">
        <v>3</v>
      </c>
      <c r="J151" s="1">
        <v>68158</v>
      </c>
    </row>
    <row r="152" spans="1:10" x14ac:dyDescent="0.3">
      <c r="A152" s="1" t="s">
        <v>204</v>
      </c>
      <c r="B152" s="1">
        <v>36</v>
      </c>
      <c r="C152" s="1" t="s">
        <v>27</v>
      </c>
      <c r="D152" s="1" t="s">
        <v>40</v>
      </c>
      <c r="E152" s="1" t="s">
        <v>46</v>
      </c>
      <c r="F152" s="1" t="s">
        <v>28</v>
      </c>
      <c r="G152" s="1" t="s">
        <v>35</v>
      </c>
      <c r="H152" s="1" t="s">
        <v>42</v>
      </c>
      <c r="I152" s="1" t="s">
        <v>3</v>
      </c>
      <c r="J152" s="1">
        <v>53019</v>
      </c>
    </row>
    <row r="153" spans="1:10" x14ac:dyDescent="0.3">
      <c r="A153" s="1" t="s">
        <v>205</v>
      </c>
      <c r="B153" s="1">
        <v>53</v>
      </c>
      <c r="C153" s="1" t="s">
        <v>33</v>
      </c>
      <c r="D153" s="1" t="s">
        <v>43</v>
      </c>
      <c r="E153" s="1" t="s">
        <v>41</v>
      </c>
      <c r="F153" s="1" t="s">
        <v>28</v>
      </c>
      <c r="G153" s="1" t="s">
        <v>32</v>
      </c>
      <c r="H153" s="1" t="s">
        <v>45</v>
      </c>
      <c r="I153" s="1" t="s">
        <v>1</v>
      </c>
      <c r="J153" s="1">
        <v>48639</v>
      </c>
    </row>
    <row r="154" spans="1:10" x14ac:dyDescent="0.3">
      <c r="A154" s="1" t="s">
        <v>206</v>
      </c>
      <c r="B154" s="1">
        <v>53</v>
      </c>
      <c r="C154" s="1" t="s">
        <v>33</v>
      </c>
      <c r="D154" s="1" t="s">
        <v>43</v>
      </c>
      <c r="E154" s="1" t="s">
        <v>46</v>
      </c>
      <c r="F154" s="1" t="s">
        <v>28</v>
      </c>
      <c r="G154" s="1" t="s">
        <v>32</v>
      </c>
      <c r="H154" s="1" t="s">
        <v>42</v>
      </c>
      <c r="I154" s="1" t="s">
        <v>3</v>
      </c>
      <c r="J154" s="1">
        <v>115530</v>
      </c>
    </row>
    <row r="155" spans="1:10" x14ac:dyDescent="0.3">
      <c r="A155" s="1" t="s">
        <v>207</v>
      </c>
      <c r="B155" s="1">
        <v>45</v>
      </c>
      <c r="C155" s="1" t="s">
        <v>30</v>
      </c>
      <c r="D155" s="1" t="s">
        <v>40</v>
      </c>
      <c r="E155" s="1" t="s">
        <v>47</v>
      </c>
      <c r="F155" s="1" t="s">
        <v>31</v>
      </c>
      <c r="G155" s="1" t="s">
        <v>35</v>
      </c>
      <c r="H155" s="1" t="s">
        <v>39</v>
      </c>
      <c r="I155" s="1" t="s">
        <v>3</v>
      </c>
      <c r="J155" s="1">
        <v>51563</v>
      </c>
    </row>
    <row r="156" spans="1:10" x14ac:dyDescent="0.3">
      <c r="A156" s="1" t="s">
        <v>208</v>
      </c>
      <c r="B156" s="1">
        <v>33</v>
      </c>
      <c r="C156" s="1" t="s">
        <v>27</v>
      </c>
      <c r="D156" s="1" t="s">
        <v>43</v>
      </c>
      <c r="E156" s="1" t="s">
        <v>46</v>
      </c>
      <c r="F156" s="1" t="s">
        <v>25</v>
      </c>
      <c r="G156" s="1" t="s">
        <v>35</v>
      </c>
      <c r="H156" s="1" t="s">
        <v>39</v>
      </c>
      <c r="I156" s="1" t="s">
        <v>1</v>
      </c>
      <c r="J156" s="1">
        <v>69341</v>
      </c>
    </row>
    <row r="157" spans="1:10" x14ac:dyDescent="0.3">
      <c r="A157" s="1" t="s">
        <v>209</v>
      </c>
      <c r="B157" s="1">
        <v>23</v>
      </c>
      <c r="C157" s="1" t="s">
        <v>24</v>
      </c>
      <c r="D157" s="1" t="s">
        <v>40</v>
      </c>
      <c r="E157" s="1" t="s">
        <v>46</v>
      </c>
      <c r="F157" s="1" t="s">
        <v>31</v>
      </c>
      <c r="G157" s="1" t="s">
        <v>23</v>
      </c>
      <c r="H157" s="1" t="s">
        <v>42</v>
      </c>
      <c r="I157" s="1" t="s">
        <v>3</v>
      </c>
      <c r="J157" s="1">
        <v>35776</v>
      </c>
    </row>
    <row r="158" spans="1:10" x14ac:dyDescent="0.3">
      <c r="A158" s="1" t="s">
        <v>210</v>
      </c>
      <c r="B158" s="1">
        <v>24</v>
      </c>
      <c r="C158" s="1" t="s">
        <v>24</v>
      </c>
      <c r="D158" s="1" t="s">
        <v>40</v>
      </c>
      <c r="E158" s="1" t="s">
        <v>46</v>
      </c>
      <c r="F158" s="1" t="s">
        <v>25</v>
      </c>
      <c r="G158" s="1" t="s">
        <v>32</v>
      </c>
      <c r="H158" s="1" t="s">
        <v>39</v>
      </c>
      <c r="I158" s="1" t="s">
        <v>3</v>
      </c>
      <c r="J158" s="1">
        <v>66444</v>
      </c>
    </row>
    <row r="159" spans="1:10" x14ac:dyDescent="0.3">
      <c r="A159" s="1" t="s">
        <v>211</v>
      </c>
      <c r="B159" s="1">
        <v>58</v>
      </c>
      <c r="C159" s="1" t="s">
        <v>33</v>
      </c>
      <c r="D159" s="1" t="s">
        <v>43</v>
      </c>
      <c r="E159" s="1" t="s">
        <v>46</v>
      </c>
      <c r="F159" s="1" t="s">
        <v>28</v>
      </c>
      <c r="G159" s="1" t="s">
        <v>26</v>
      </c>
      <c r="H159" s="1" t="s">
        <v>42</v>
      </c>
      <c r="I159" s="1" t="s">
        <v>3</v>
      </c>
      <c r="J159" s="1">
        <v>98916</v>
      </c>
    </row>
    <row r="160" spans="1:10" x14ac:dyDescent="0.3">
      <c r="A160" s="1" t="s">
        <v>212</v>
      </c>
      <c r="B160" s="1">
        <v>38</v>
      </c>
      <c r="C160" s="1" t="s">
        <v>27</v>
      </c>
      <c r="D160" s="1" t="s">
        <v>40</v>
      </c>
      <c r="E160" s="1" t="s">
        <v>41</v>
      </c>
      <c r="F160" s="1" t="s">
        <v>28</v>
      </c>
      <c r="G160" s="1" t="s">
        <v>29</v>
      </c>
      <c r="H160" s="1" t="s">
        <v>39</v>
      </c>
      <c r="I160" s="1" t="s">
        <v>3</v>
      </c>
      <c r="J160" s="1">
        <v>38711</v>
      </c>
    </row>
    <row r="161" spans="1:10" x14ac:dyDescent="0.3">
      <c r="A161" s="1" t="s">
        <v>213</v>
      </c>
      <c r="B161" s="1">
        <v>23</v>
      </c>
      <c r="C161" s="1" t="s">
        <v>24</v>
      </c>
      <c r="D161" s="1" t="s">
        <v>43</v>
      </c>
      <c r="E161" s="1" t="s">
        <v>41</v>
      </c>
      <c r="F161" s="1" t="s">
        <v>31</v>
      </c>
      <c r="G161" s="1" t="s">
        <v>29</v>
      </c>
      <c r="H161" s="1" t="s">
        <v>45</v>
      </c>
      <c r="I161" s="1" t="s">
        <v>3</v>
      </c>
      <c r="J161" s="1">
        <v>104318</v>
      </c>
    </row>
    <row r="162" spans="1:10" x14ac:dyDescent="0.3">
      <c r="A162" s="1" t="s">
        <v>214</v>
      </c>
      <c r="B162" s="1">
        <v>23</v>
      </c>
      <c r="C162" s="1" t="s">
        <v>24</v>
      </c>
      <c r="D162" s="1" t="s">
        <v>40</v>
      </c>
      <c r="E162" s="1" t="s">
        <v>41</v>
      </c>
      <c r="F162" s="1" t="s">
        <v>31</v>
      </c>
      <c r="G162" s="1" t="s">
        <v>35</v>
      </c>
      <c r="H162" s="1" t="s">
        <v>39</v>
      </c>
      <c r="I162" s="1" t="s">
        <v>1</v>
      </c>
      <c r="J162" s="1">
        <v>112970</v>
      </c>
    </row>
    <row r="163" spans="1:10" x14ac:dyDescent="0.3">
      <c r="A163" s="1" t="s">
        <v>215</v>
      </c>
      <c r="B163" s="1">
        <v>49</v>
      </c>
      <c r="C163" s="1" t="s">
        <v>30</v>
      </c>
      <c r="D163" s="1" t="s">
        <v>40</v>
      </c>
      <c r="E163" s="1" t="s">
        <v>46</v>
      </c>
      <c r="F163" s="1" t="s">
        <v>25</v>
      </c>
      <c r="G163" s="1" t="s">
        <v>23</v>
      </c>
      <c r="H163" s="1" t="s">
        <v>45</v>
      </c>
      <c r="I163" s="1" t="s">
        <v>3</v>
      </c>
      <c r="J163" s="1">
        <v>115553</v>
      </c>
    </row>
    <row r="164" spans="1:10" x14ac:dyDescent="0.3">
      <c r="A164" s="1" t="s">
        <v>216</v>
      </c>
      <c r="B164" s="1">
        <v>44</v>
      </c>
      <c r="C164" s="1" t="s">
        <v>30</v>
      </c>
      <c r="D164" s="1" t="s">
        <v>43</v>
      </c>
      <c r="E164" s="1" t="s">
        <v>44</v>
      </c>
      <c r="F164" s="1" t="s">
        <v>22</v>
      </c>
      <c r="G164" s="1" t="s">
        <v>29</v>
      </c>
      <c r="H164" s="1" t="s">
        <v>39</v>
      </c>
      <c r="I164" s="1" t="s">
        <v>1</v>
      </c>
      <c r="J164" s="1">
        <v>60707</v>
      </c>
    </row>
    <row r="165" spans="1:10" x14ac:dyDescent="0.3">
      <c r="A165" s="1" t="s">
        <v>217</v>
      </c>
      <c r="B165" s="1">
        <v>58</v>
      </c>
      <c r="C165" s="1" t="s">
        <v>33</v>
      </c>
      <c r="D165" s="1" t="s">
        <v>40</v>
      </c>
      <c r="E165" s="1" t="s">
        <v>41</v>
      </c>
      <c r="F165" s="1" t="s">
        <v>25</v>
      </c>
      <c r="G165" s="1" t="s">
        <v>32</v>
      </c>
      <c r="H165" s="1" t="s">
        <v>45</v>
      </c>
      <c r="I165" s="1" t="s">
        <v>3</v>
      </c>
      <c r="J165" s="1">
        <v>69110</v>
      </c>
    </row>
    <row r="166" spans="1:10" x14ac:dyDescent="0.3">
      <c r="A166" s="1" t="s">
        <v>218</v>
      </c>
      <c r="B166" s="1">
        <v>53</v>
      </c>
      <c r="C166" s="1" t="s">
        <v>33</v>
      </c>
      <c r="D166" s="1" t="s">
        <v>40</v>
      </c>
      <c r="E166" s="1" t="s">
        <v>41</v>
      </c>
      <c r="F166" s="1" t="s">
        <v>31</v>
      </c>
      <c r="G166" s="1" t="s">
        <v>35</v>
      </c>
      <c r="H166" s="1" t="s">
        <v>39</v>
      </c>
      <c r="I166" s="1" t="s">
        <v>3</v>
      </c>
      <c r="J166" s="1">
        <v>91788</v>
      </c>
    </row>
    <row r="167" spans="1:10" x14ac:dyDescent="0.3">
      <c r="A167" s="1" t="s">
        <v>219</v>
      </c>
      <c r="B167" s="1">
        <v>54</v>
      </c>
      <c r="C167" s="1" t="s">
        <v>33</v>
      </c>
      <c r="D167" s="1" t="s">
        <v>40</v>
      </c>
      <c r="E167" s="1" t="s">
        <v>41</v>
      </c>
      <c r="F167" s="1" t="s">
        <v>31</v>
      </c>
      <c r="G167" s="1" t="s">
        <v>26</v>
      </c>
      <c r="H167" s="1" t="s">
        <v>45</v>
      </c>
      <c r="I167" s="1" t="s">
        <v>3</v>
      </c>
      <c r="J167" s="1">
        <v>112879</v>
      </c>
    </row>
    <row r="168" spans="1:10" x14ac:dyDescent="0.3">
      <c r="A168" s="1" t="s">
        <v>220</v>
      </c>
      <c r="B168" s="1">
        <v>22</v>
      </c>
      <c r="C168" s="1" t="s">
        <v>24</v>
      </c>
      <c r="D168" s="1" t="s">
        <v>40</v>
      </c>
      <c r="E168" s="1" t="s">
        <v>46</v>
      </c>
      <c r="F168" s="1" t="s">
        <v>34</v>
      </c>
      <c r="G168" s="1" t="s">
        <v>35</v>
      </c>
      <c r="H168" s="1" t="s">
        <v>42</v>
      </c>
      <c r="I168" s="1" t="s">
        <v>3</v>
      </c>
      <c r="J168" s="1">
        <v>68827</v>
      </c>
    </row>
    <row r="169" spans="1:10" x14ac:dyDescent="0.3">
      <c r="A169" s="1" t="s">
        <v>221</v>
      </c>
      <c r="B169" s="1">
        <v>40</v>
      </c>
      <c r="C169" s="1" t="s">
        <v>30</v>
      </c>
      <c r="D169" s="1" t="s">
        <v>40</v>
      </c>
      <c r="E169" s="1" t="s">
        <v>46</v>
      </c>
      <c r="F169" s="1" t="s">
        <v>31</v>
      </c>
      <c r="G169" s="1" t="s">
        <v>26</v>
      </c>
      <c r="H169" s="1" t="s">
        <v>42</v>
      </c>
      <c r="I169" s="1" t="s">
        <v>1</v>
      </c>
      <c r="J169" s="1">
        <v>35655</v>
      </c>
    </row>
    <row r="170" spans="1:10" x14ac:dyDescent="0.3">
      <c r="A170" s="1" t="s">
        <v>222</v>
      </c>
      <c r="B170" s="1">
        <v>23</v>
      </c>
      <c r="C170" s="1" t="s">
        <v>24</v>
      </c>
      <c r="D170" s="1" t="s">
        <v>43</v>
      </c>
      <c r="E170" s="1" t="s">
        <v>41</v>
      </c>
      <c r="F170" s="1" t="s">
        <v>34</v>
      </c>
      <c r="G170" s="1" t="s">
        <v>35</v>
      </c>
      <c r="H170" s="1" t="s">
        <v>45</v>
      </c>
      <c r="I170" s="1" t="s">
        <v>1</v>
      </c>
      <c r="J170" s="1">
        <v>74859</v>
      </c>
    </row>
    <row r="171" spans="1:10" x14ac:dyDescent="0.3">
      <c r="A171" s="1" t="s">
        <v>223</v>
      </c>
      <c r="B171" s="1">
        <v>47</v>
      </c>
      <c r="C171" s="1" t="s">
        <v>30</v>
      </c>
      <c r="D171" s="1" t="s">
        <v>40</v>
      </c>
      <c r="E171" s="1" t="s">
        <v>47</v>
      </c>
      <c r="F171" s="1" t="s">
        <v>22</v>
      </c>
      <c r="G171" s="1" t="s">
        <v>35</v>
      </c>
      <c r="H171" s="1" t="s">
        <v>39</v>
      </c>
      <c r="I171" s="1" t="s">
        <v>1</v>
      </c>
      <c r="J171" s="1">
        <v>83625</v>
      </c>
    </row>
    <row r="172" spans="1:10" x14ac:dyDescent="0.3">
      <c r="A172" s="1" t="s">
        <v>224</v>
      </c>
      <c r="B172" s="1">
        <v>53</v>
      </c>
      <c r="C172" s="1" t="s">
        <v>33</v>
      </c>
      <c r="D172" s="1" t="s">
        <v>43</v>
      </c>
      <c r="E172" s="1" t="s">
        <v>41</v>
      </c>
      <c r="F172" s="1" t="s">
        <v>25</v>
      </c>
      <c r="G172" s="1" t="s">
        <v>35</v>
      </c>
      <c r="H172" s="1" t="s">
        <v>45</v>
      </c>
      <c r="I172" s="1" t="s">
        <v>1</v>
      </c>
      <c r="J172" s="1">
        <v>82098</v>
      </c>
    </row>
    <row r="173" spans="1:10" x14ac:dyDescent="0.3">
      <c r="A173" s="1" t="s">
        <v>225</v>
      </c>
      <c r="B173" s="1">
        <v>27</v>
      </c>
      <c r="C173" s="1" t="s">
        <v>24</v>
      </c>
      <c r="D173" s="1" t="s">
        <v>40</v>
      </c>
      <c r="E173" s="1" t="s">
        <v>41</v>
      </c>
      <c r="F173" s="1" t="s">
        <v>25</v>
      </c>
      <c r="G173" s="1" t="s">
        <v>26</v>
      </c>
      <c r="H173" s="1" t="s">
        <v>39</v>
      </c>
      <c r="I173" s="1" t="s">
        <v>3</v>
      </c>
      <c r="J173" s="1">
        <v>45251</v>
      </c>
    </row>
    <row r="174" spans="1:10" x14ac:dyDescent="0.3">
      <c r="A174" s="1" t="s">
        <v>226</v>
      </c>
      <c r="B174" s="1">
        <v>53</v>
      </c>
      <c r="C174" s="1" t="s">
        <v>33</v>
      </c>
      <c r="D174" s="1" t="s">
        <v>43</v>
      </c>
      <c r="E174" s="1" t="s">
        <v>46</v>
      </c>
      <c r="F174" s="1" t="s">
        <v>34</v>
      </c>
      <c r="G174" s="1" t="s">
        <v>26</v>
      </c>
      <c r="H174" s="1" t="s">
        <v>42</v>
      </c>
      <c r="I174" s="1" t="s">
        <v>3</v>
      </c>
      <c r="J174" s="1">
        <v>30526</v>
      </c>
    </row>
    <row r="175" spans="1:10" x14ac:dyDescent="0.3">
      <c r="A175" s="1" t="s">
        <v>227</v>
      </c>
      <c r="B175" s="1">
        <v>25</v>
      </c>
      <c r="C175" s="1" t="s">
        <v>24</v>
      </c>
      <c r="D175" s="1" t="s">
        <v>43</v>
      </c>
      <c r="E175" s="1" t="s">
        <v>41</v>
      </c>
      <c r="F175" s="1" t="s">
        <v>25</v>
      </c>
      <c r="G175" s="1" t="s">
        <v>35</v>
      </c>
      <c r="H175" s="1" t="s">
        <v>39</v>
      </c>
      <c r="I175" s="1" t="s">
        <v>1</v>
      </c>
      <c r="J175" s="1">
        <v>98760</v>
      </c>
    </row>
    <row r="176" spans="1:10" x14ac:dyDescent="0.3">
      <c r="A176" s="1" t="s">
        <v>228</v>
      </c>
      <c r="B176" s="1">
        <v>32</v>
      </c>
      <c r="C176" s="1" t="s">
        <v>27</v>
      </c>
      <c r="D176" s="1" t="s">
        <v>40</v>
      </c>
      <c r="E176" s="1" t="s">
        <v>41</v>
      </c>
      <c r="F176" s="1" t="s">
        <v>31</v>
      </c>
      <c r="G176" s="1" t="s">
        <v>29</v>
      </c>
      <c r="H176" s="1" t="s">
        <v>42</v>
      </c>
      <c r="I176" s="1" t="s">
        <v>3</v>
      </c>
      <c r="J176" s="1">
        <v>77837</v>
      </c>
    </row>
    <row r="177" spans="1:10" x14ac:dyDescent="0.3">
      <c r="A177" s="1" t="s">
        <v>229</v>
      </c>
      <c r="B177" s="1">
        <v>38</v>
      </c>
      <c r="C177" s="1" t="s">
        <v>27</v>
      </c>
      <c r="D177" s="1" t="s">
        <v>40</v>
      </c>
      <c r="E177" s="1" t="s">
        <v>46</v>
      </c>
      <c r="F177" s="1" t="s">
        <v>28</v>
      </c>
      <c r="G177" s="1" t="s">
        <v>23</v>
      </c>
      <c r="H177" s="1" t="s">
        <v>39</v>
      </c>
      <c r="I177" s="1" t="s">
        <v>3</v>
      </c>
      <c r="J177" s="1">
        <v>41536</v>
      </c>
    </row>
    <row r="178" spans="1:10" x14ac:dyDescent="0.3">
      <c r="A178" s="1" t="s">
        <v>230</v>
      </c>
      <c r="B178" s="1">
        <v>59</v>
      </c>
      <c r="C178" s="1" t="s">
        <v>33</v>
      </c>
      <c r="D178" s="1" t="s">
        <v>40</v>
      </c>
      <c r="E178" s="1" t="s">
        <v>41</v>
      </c>
      <c r="F178" s="1" t="s">
        <v>34</v>
      </c>
      <c r="G178" s="1" t="s">
        <v>23</v>
      </c>
      <c r="H178" s="1" t="s">
        <v>39</v>
      </c>
      <c r="I178" s="1" t="s">
        <v>3</v>
      </c>
      <c r="J178" s="1">
        <v>58541</v>
      </c>
    </row>
    <row r="179" spans="1:10" x14ac:dyDescent="0.3">
      <c r="A179" s="1" t="s">
        <v>231</v>
      </c>
      <c r="B179" s="1">
        <v>45</v>
      </c>
      <c r="C179" s="1" t="s">
        <v>30</v>
      </c>
      <c r="D179" s="1" t="s">
        <v>43</v>
      </c>
      <c r="E179" s="1" t="s">
        <v>41</v>
      </c>
      <c r="F179" s="1" t="s">
        <v>25</v>
      </c>
      <c r="G179" s="1" t="s">
        <v>23</v>
      </c>
      <c r="H179" s="1" t="s">
        <v>39</v>
      </c>
      <c r="I179" s="1" t="s">
        <v>3</v>
      </c>
      <c r="J179" s="1">
        <v>109083</v>
      </c>
    </row>
    <row r="180" spans="1:10" x14ac:dyDescent="0.3">
      <c r="A180" s="1" t="s">
        <v>232</v>
      </c>
      <c r="B180" s="1">
        <v>26</v>
      </c>
      <c r="C180" s="1" t="s">
        <v>24</v>
      </c>
      <c r="D180" s="1" t="s">
        <v>40</v>
      </c>
      <c r="E180" s="1" t="s">
        <v>41</v>
      </c>
      <c r="F180" s="1" t="s">
        <v>34</v>
      </c>
      <c r="G180" s="1" t="s">
        <v>26</v>
      </c>
      <c r="H180" s="1" t="s">
        <v>45</v>
      </c>
      <c r="I180" s="1" t="s">
        <v>1</v>
      </c>
      <c r="J180" s="1">
        <v>81027</v>
      </c>
    </row>
    <row r="181" spans="1:10" x14ac:dyDescent="0.3">
      <c r="A181" s="1" t="s">
        <v>233</v>
      </c>
      <c r="B181" s="1">
        <v>55</v>
      </c>
      <c r="C181" s="1" t="s">
        <v>33</v>
      </c>
      <c r="D181" s="1" t="s">
        <v>43</v>
      </c>
      <c r="E181" s="1" t="s">
        <v>41</v>
      </c>
      <c r="F181" s="1" t="s">
        <v>34</v>
      </c>
      <c r="G181" s="1" t="s">
        <v>26</v>
      </c>
      <c r="H181" s="1" t="s">
        <v>45</v>
      </c>
      <c r="I181" s="1" t="s">
        <v>3</v>
      </c>
      <c r="J181" s="1">
        <v>64531</v>
      </c>
    </row>
    <row r="182" spans="1:10" x14ac:dyDescent="0.3">
      <c r="A182" s="1" t="s">
        <v>234</v>
      </c>
      <c r="B182" s="1">
        <v>27</v>
      </c>
      <c r="C182" s="1" t="s">
        <v>24</v>
      </c>
      <c r="D182" s="1" t="s">
        <v>43</v>
      </c>
      <c r="E182" s="1" t="s">
        <v>41</v>
      </c>
      <c r="F182" s="1" t="s">
        <v>28</v>
      </c>
      <c r="G182" s="1" t="s">
        <v>29</v>
      </c>
      <c r="H182" s="1" t="s">
        <v>42</v>
      </c>
      <c r="I182" s="1" t="s">
        <v>3</v>
      </c>
      <c r="J182" s="1">
        <v>38712</v>
      </c>
    </row>
    <row r="183" spans="1:10" x14ac:dyDescent="0.3">
      <c r="A183" s="1" t="s">
        <v>235</v>
      </c>
      <c r="B183" s="1">
        <v>43</v>
      </c>
      <c r="C183" s="1" t="s">
        <v>30</v>
      </c>
      <c r="D183" s="1" t="s">
        <v>43</v>
      </c>
      <c r="E183" s="1" t="s">
        <v>41</v>
      </c>
      <c r="F183" s="1" t="s">
        <v>31</v>
      </c>
      <c r="G183" s="1" t="s">
        <v>23</v>
      </c>
      <c r="H183" s="1" t="s">
        <v>42</v>
      </c>
      <c r="I183" s="1" t="s">
        <v>3</v>
      </c>
      <c r="J183" s="1">
        <v>95455</v>
      </c>
    </row>
    <row r="184" spans="1:10" x14ac:dyDescent="0.3">
      <c r="A184" s="1" t="s">
        <v>236</v>
      </c>
      <c r="B184" s="1">
        <v>32</v>
      </c>
      <c r="C184" s="1" t="s">
        <v>27</v>
      </c>
      <c r="D184" s="1" t="s">
        <v>40</v>
      </c>
      <c r="E184" s="1" t="s">
        <v>46</v>
      </c>
      <c r="F184" s="1" t="s">
        <v>34</v>
      </c>
      <c r="G184" s="1" t="s">
        <v>23</v>
      </c>
      <c r="H184" s="1" t="s">
        <v>45</v>
      </c>
      <c r="I184" s="1" t="s">
        <v>1</v>
      </c>
      <c r="J184" s="1">
        <v>104744</v>
      </c>
    </row>
    <row r="185" spans="1:10" x14ac:dyDescent="0.3">
      <c r="A185" s="1" t="s">
        <v>237</v>
      </c>
      <c r="B185" s="1">
        <v>37</v>
      </c>
      <c r="C185" s="1" t="s">
        <v>27</v>
      </c>
      <c r="D185" s="1" t="s">
        <v>40</v>
      </c>
      <c r="E185" s="1" t="s">
        <v>46</v>
      </c>
      <c r="F185" s="1" t="s">
        <v>25</v>
      </c>
      <c r="G185" s="1" t="s">
        <v>35</v>
      </c>
      <c r="H185" s="1" t="s">
        <v>42</v>
      </c>
      <c r="I185" s="1" t="s">
        <v>3</v>
      </c>
      <c r="J185" s="1">
        <v>35109</v>
      </c>
    </row>
    <row r="186" spans="1:10" x14ac:dyDescent="0.3">
      <c r="A186" s="1" t="s">
        <v>238</v>
      </c>
      <c r="B186" s="1">
        <v>54</v>
      </c>
      <c r="C186" s="1" t="s">
        <v>33</v>
      </c>
      <c r="D186" s="1" t="s">
        <v>43</v>
      </c>
      <c r="E186" s="1" t="s">
        <v>46</v>
      </c>
      <c r="F186" s="1" t="s">
        <v>22</v>
      </c>
      <c r="G186" s="1" t="s">
        <v>26</v>
      </c>
      <c r="H186" s="1" t="s">
        <v>45</v>
      </c>
      <c r="I186" s="1" t="s">
        <v>1</v>
      </c>
      <c r="J186" s="1">
        <v>79268</v>
      </c>
    </row>
    <row r="187" spans="1:10" x14ac:dyDescent="0.3">
      <c r="A187" s="1" t="s">
        <v>239</v>
      </c>
      <c r="B187" s="1">
        <v>30</v>
      </c>
      <c r="C187" s="1" t="s">
        <v>27</v>
      </c>
      <c r="D187" s="1" t="s">
        <v>43</v>
      </c>
      <c r="E187" s="1" t="s">
        <v>46</v>
      </c>
      <c r="F187" s="1" t="s">
        <v>34</v>
      </c>
      <c r="G187" s="1" t="s">
        <v>23</v>
      </c>
      <c r="H187" s="1" t="s">
        <v>39</v>
      </c>
      <c r="I187" s="1" t="s">
        <v>1</v>
      </c>
      <c r="J187" s="1">
        <v>84615</v>
      </c>
    </row>
    <row r="188" spans="1:10" x14ac:dyDescent="0.3">
      <c r="A188" s="1" t="s">
        <v>240</v>
      </c>
      <c r="B188" s="1">
        <v>27</v>
      </c>
      <c r="C188" s="1" t="s">
        <v>24</v>
      </c>
      <c r="D188" s="1" t="s">
        <v>40</v>
      </c>
      <c r="E188" s="1" t="s">
        <v>46</v>
      </c>
      <c r="F188" s="1" t="s">
        <v>34</v>
      </c>
      <c r="G188" s="1" t="s">
        <v>29</v>
      </c>
      <c r="H188" s="1" t="s">
        <v>42</v>
      </c>
      <c r="I188" s="1" t="s">
        <v>3</v>
      </c>
      <c r="J188" s="1">
        <v>112503</v>
      </c>
    </row>
    <row r="189" spans="1:10" x14ac:dyDescent="0.3">
      <c r="A189" s="1" t="s">
        <v>241</v>
      </c>
      <c r="B189" s="1">
        <v>37</v>
      </c>
      <c r="C189" s="1" t="s">
        <v>27</v>
      </c>
      <c r="D189" s="1" t="s">
        <v>43</v>
      </c>
      <c r="E189" s="1" t="s">
        <v>41</v>
      </c>
      <c r="F189" s="1" t="s">
        <v>28</v>
      </c>
      <c r="G189" s="1" t="s">
        <v>29</v>
      </c>
      <c r="H189" s="1" t="s">
        <v>42</v>
      </c>
      <c r="I189" s="1" t="s">
        <v>3</v>
      </c>
      <c r="J189" s="1">
        <v>59759</v>
      </c>
    </row>
    <row r="190" spans="1:10" x14ac:dyDescent="0.3">
      <c r="A190" s="1" t="s">
        <v>242</v>
      </c>
      <c r="B190" s="1">
        <v>50</v>
      </c>
      <c r="C190" s="1" t="s">
        <v>33</v>
      </c>
      <c r="D190" s="1" t="s">
        <v>40</v>
      </c>
      <c r="E190" s="1" t="s">
        <v>41</v>
      </c>
      <c r="F190" s="1" t="s">
        <v>31</v>
      </c>
      <c r="G190" s="1" t="s">
        <v>23</v>
      </c>
      <c r="H190" s="1" t="s">
        <v>45</v>
      </c>
      <c r="I190" s="1" t="s">
        <v>3</v>
      </c>
      <c r="J190" s="1">
        <v>115708</v>
      </c>
    </row>
    <row r="191" spans="1:10" x14ac:dyDescent="0.3">
      <c r="A191" s="1" t="s">
        <v>243</v>
      </c>
      <c r="B191" s="1">
        <v>24</v>
      </c>
      <c r="C191" s="1" t="s">
        <v>24</v>
      </c>
      <c r="D191" s="1" t="s">
        <v>43</v>
      </c>
      <c r="E191" s="1" t="s">
        <v>41</v>
      </c>
      <c r="F191" s="1" t="s">
        <v>22</v>
      </c>
      <c r="G191" s="1" t="s">
        <v>26</v>
      </c>
      <c r="H191" s="1" t="s">
        <v>42</v>
      </c>
      <c r="I191" s="1" t="s">
        <v>1</v>
      </c>
      <c r="J191" s="1">
        <v>90112</v>
      </c>
    </row>
    <row r="192" spans="1:10" x14ac:dyDescent="0.3">
      <c r="A192" s="1" t="s">
        <v>244</v>
      </c>
      <c r="B192" s="1">
        <v>41</v>
      </c>
      <c r="C192" s="1" t="s">
        <v>30</v>
      </c>
      <c r="D192" s="1" t="s">
        <v>40</v>
      </c>
      <c r="E192" s="1" t="s">
        <v>44</v>
      </c>
      <c r="F192" s="1" t="s">
        <v>25</v>
      </c>
      <c r="G192" s="1" t="s">
        <v>29</v>
      </c>
      <c r="H192" s="1" t="s">
        <v>42</v>
      </c>
      <c r="I192" s="1" t="s">
        <v>3</v>
      </c>
      <c r="J192" s="1">
        <v>56589</v>
      </c>
    </row>
    <row r="193" spans="1:10" x14ac:dyDescent="0.3">
      <c r="A193" s="1" t="s">
        <v>245</v>
      </c>
      <c r="B193" s="1">
        <v>57</v>
      </c>
      <c r="C193" s="1" t="s">
        <v>33</v>
      </c>
      <c r="D193" s="1" t="s">
        <v>43</v>
      </c>
      <c r="E193" s="1" t="s">
        <v>41</v>
      </c>
      <c r="F193" s="1" t="s">
        <v>22</v>
      </c>
      <c r="G193" s="1" t="s">
        <v>35</v>
      </c>
      <c r="H193" s="1" t="s">
        <v>39</v>
      </c>
      <c r="I193" s="1" t="s">
        <v>3</v>
      </c>
      <c r="J193" s="1">
        <v>60015</v>
      </c>
    </row>
    <row r="194" spans="1:10" x14ac:dyDescent="0.3">
      <c r="A194" s="1" t="s">
        <v>246</v>
      </c>
      <c r="B194" s="1">
        <v>40</v>
      </c>
      <c r="C194" s="1" t="s">
        <v>30</v>
      </c>
      <c r="D194" s="1" t="s">
        <v>40</v>
      </c>
      <c r="E194" s="1" t="s">
        <v>41</v>
      </c>
      <c r="F194" s="1" t="s">
        <v>25</v>
      </c>
      <c r="G194" s="1" t="s">
        <v>29</v>
      </c>
      <c r="H194" s="1" t="s">
        <v>42</v>
      </c>
      <c r="I194" s="1" t="s">
        <v>1</v>
      </c>
      <c r="J194" s="1">
        <v>59009</v>
      </c>
    </row>
    <row r="195" spans="1:10" x14ac:dyDescent="0.3">
      <c r="A195" s="1" t="s">
        <v>247</v>
      </c>
      <c r="B195" s="1">
        <v>47</v>
      </c>
      <c r="C195" s="1" t="s">
        <v>30</v>
      </c>
      <c r="D195" s="1" t="s">
        <v>43</v>
      </c>
      <c r="E195" s="1" t="s">
        <v>46</v>
      </c>
      <c r="F195" s="1" t="s">
        <v>31</v>
      </c>
      <c r="G195" s="1" t="s">
        <v>32</v>
      </c>
      <c r="H195" s="1" t="s">
        <v>39</v>
      </c>
      <c r="I195" s="1" t="s">
        <v>3</v>
      </c>
      <c r="J195" s="1">
        <v>113309</v>
      </c>
    </row>
    <row r="196" spans="1:10" x14ac:dyDescent="0.3">
      <c r="A196" s="1" t="s">
        <v>248</v>
      </c>
      <c r="B196" s="1">
        <v>24</v>
      </c>
      <c r="C196" s="1" t="s">
        <v>24</v>
      </c>
      <c r="D196" s="1" t="s">
        <v>40</v>
      </c>
      <c r="E196" s="1" t="s">
        <v>47</v>
      </c>
      <c r="F196" s="1" t="s">
        <v>25</v>
      </c>
      <c r="G196" s="1" t="s">
        <v>32</v>
      </c>
      <c r="H196" s="1" t="s">
        <v>45</v>
      </c>
      <c r="I196" s="1" t="s">
        <v>3</v>
      </c>
      <c r="J196" s="1">
        <v>92046</v>
      </c>
    </row>
    <row r="197" spans="1:10" x14ac:dyDescent="0.3">
      <c r="A197" s="1" t="s">
        <v>249</v>
      </c>
      <c r="B197" s="1">
        <v>40</v>
      </c>
      <c r="C197" s="1" t="s">
        <v>30</v>
      </c>
      <c r="D197" s="1" t="s">
        <v>40</v>
      </c>
      <c r="E197" s="1" t="s">
        <v>41</v>
      </c>
      <c r="F197" s="1" t="s">
        <v>28</v>
      </c>
      <c r="G197" s="1" t="s">
        <v>26</v>
      </c>
      <c r="H197" s="1" t="s">
        <v>42</v>
      </c>
      <c r="I197" s="1" t="s">
        <v>3</v>
      </c>
      <c r="J197" s="1">
        <v>56143</v>
      </c>
    </row>
    <row r="198" spans="1:10" x14ac:dyDescent="0.3">
      <c r="A198" s="1" t="s">
        <v>250</v>
      </c>
      <c r="B198" s="1">
        <v>41</v>
      </c>
      <c r="C198" s="1" t="s">
        <v>30</v>
      </c>
      <c r="D198" s="1" t="s">
        <v>43</v>
      </c>
      <c r="E198" s="1" t="s">
        <v>41</v>
      </c>
      <c r="F198" s="1" t="s">
        <v>28</v>
      </c>
      <c r="G198" s="1" t="s">
        <v>23</v>
      </c>
      <c r="H198" s="1" t="s">
        <v>39</v>
      </c>
      <c r="I198" s="1" t="s">
        <v>3</v>
      </c>
      <c r="J198" s="1">
        <v>36154</v>
      </c>
    </row>
    <row r="199" spans="1:10" x14ac:dyDescent="0.3">
      <c r="A199" s="1" t="s">
        <v>251</v>
      </c>
      <c r="B199" s="1">
        <v>53</v>
      </c>
      <c r="C199" s="1" t="s">
        <v>33</v>
      </c>
      <c r="D199" s="1" t="s">
        <v>43</v>
      </c>
      <c r="E199" s="1" t="s">
        <v>44</v>
      </c>
      <c r="F199" s="1" t="s">
        <v>28</v>
      </c>
      <c r="G199" s="1" t="s">
        <v>26</v>
      </c>
      <c r="H199" s="1" t="s">
        <v>45</v>
      </c>
      <c r="I199" s="1" t="s">
        <v>3</v>
      </c>
      <c r="J199" s="1">
        <v>51804</v>
      </c>
    </row>
    <row r="200" spans="1:10" x14ac:dyDescent="0.3">
      <c r="A200" s="1" t="s">
        <v>252</v>
      </c>
      <c r="B200" s="1">
        <v>28</v>
      </c>
      <c r="C200" s="1" t="s">
        <v>24</v>
      </c>
      <c r="D200" s="1" t="s">
        <v>40</v>
      </c>
      <c r="E200" s="1" t="s">
        <v>47</v>
      </c>
      <c r="F200" s="1" t="s">
        <v>28</v>
      </c>
      <c r="G200" s="1" t="s">
        <v>26</v>
      </c>
      <c r="H200" s="1" t="s">
        <v>42</v>
      </c>
      <c r="I200" s="1" t="s">
        <v>3</v>
      </c>
      <c r="J200" s="1">
        <v>71688</v>
      </c>
    </row>
    <row r="201" spans="1:10" x14ac:dyDescent="0.3">
      <c r="A201" s="1" t="s">
        <v>253</v>
      </c>
      <c r="B201" s="1">
        <v>54</v>
      </c>
      <c r="C201" s="1" t="s">
        <v>33</v>
      </c>
      <c r="D201" s="1" t="s">
        <v>43</v>
      </c>
      <c r="E201" s="1" t="s">
        <v>47</v>
      </c>
      <c r="F201" s="1" t="s">
        <v>22</v>
      </c>
      <c r="G201" s="1" t="s">
        <v>26</v>
      </c>
      <c r="H201" s="1" t="s">
        <v>45</v>
      </c>
      <c r="I201" s="1" t="s">
        <v>1</v>
      </c>
      <c r="J201" s="1">
        <v>94288</v>
      </c>
    </row>
  </sheetData>
  <pageMargins left="0.75" right="0.75" top="1" bottom="1" header="0.5" footer="0.5"/>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Rough</vt:lpstr>
      <vt:lpstr>Dashboard</vt:lpstr>
      <vt:lpstr>Pivot</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Harika B</cp:lastModifiedBy>
  <cp:revision/>
  <dcterms:created xsi:type="dcterms:W3CDTF">2025-09-12T10:58:10Z</dcterms:created>
  <dcterms:modified xsi:type="dcterms:W3CDTF">2025-09-19T10:59:55Z</dcterms:modified>
  <cp:category/>
  <cp:contentStatus/>
</cp:coreProperties>
</file>