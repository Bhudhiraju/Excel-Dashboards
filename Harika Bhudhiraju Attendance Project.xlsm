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d2b109ccb9174409/"/>
    </mc:Choice>
  </mc:AlternateContent>
  <xr:revisionPtr revIDLastSave="77" documentId="8_{2A2D2198-C499-4539-9B00-889931142943}" xr6:coauthVersionLast="47" xr6:coauthVersionMax="47" xr10:uidLastSave="{3DAB421B-3999-48C5-9FD9-2F9A5B6B949B}"/>
  <bookViews>
    <workbookView xWindow="-108" yWindow="-108" windowWidth="23256" windowHeight="12456" activeTab="2" xr2:uid="{3591AD88-1626-415B-8A6E-A93F09145BD4}"/>
  </bookViews>
  <sheets>
    <sheet name="Data" sheetId="1" r:id="rId1"/>
    <sheet name="Pivot" sheetId="2" r:id="rId2"/>
    <sheet name="Dashboard" sheetId="3" r:id="rId3"/>
  </sheets>
  <definedNames>
    <definedName name="_xlchart.v1.0" hidden="1">Pivot!$J$4:$J$8</definedName>
    <definedName name="_xlchart.v1.1" hidden="1">Pivot!$K$2:$K$3</definedName>
    <definedName name="_xlchart.v1.2" hidden="1">Pivot!$K$4:$K$8</definedName>
    <definedName name="_xlchart.v1.3" hidden="1">Pivot!$J$4:$J$8</definedName>
    <definedName name="_xlchart.v1.4" hidden="1">Pivot!$K$2:$K$3</definedName>
    <definedName name="_xlchart.v1.5" hidden="1">Pivot!$K$4:$K$8</definedName>
    <definedName name="Slicer_AttendanceStatus">#N/A</definedName>
    <definedName name="Slicer_Department">#N/A</definedName>
    <definedName name="Slicer_Location">#N/A</definedName>
  </definedNames>
  <calcPr calcId="191028"/>
  <pivotCaches>
    <pivotCache cacheId="37"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1" i="3" l="1"/>
  <c r="L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K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8" i="2"/>
</calcChain>
</file>

<file path=xl/sharedStrings.xml><?xml version="1.0" encoding="utf-8"?>
<sst xmlns="http://schemas.openxmlformats.org/spreadsheetml/2006/main" count="572" uniqueCount="50">
  <si>
    <t>EmployeeID</t>
  </si>
  <si>
    <t>Name</t>
  </si>
  <si>
    <t>Department</t>
  </si>
  <si>
    <t>Date</t>
  </si>
  <si>
    <t>CheckIn</t>
  </si>
  <si>
    <t>CheckOut</t>
  </si>
  <si>
    <t>WorkHours</t>
  </si>
  <si>
    <t>LateMinutes</t>
  </si>
  <si>
    <t>AttendanceStatus</t>
  </si>
  <si>
    <t>Location</t>
  </si>
  <si>
    <t>Overtime Hours</t>
  </si>
  <si>
    <t>On Time Flag</t>
  </si>
  <si>
    <t>EMP1001</t>
  </si>
  <si>
    <t>Alice Johnson</t>
  </si>
  <si>
    <t>Sales</t>
  </si>
  <si>
    <t>Present</t>
  </si>
  <si>
    <t>Hyderabad</t>
  </si>
  <si>
    <t>Bangalore</t>
  </si>
  <si>
    <t>Remote</t>
  </si>
  <si>
    <t>Absent</t>
  </si>
  <si>
    <t>EMP1002</t>
  </si>
  <si>
    <t>Bob Smith</t>
  </si>
  <si>
    <t>Operations</t>
  </si>
  <si>
    <t>EMP1003</t>
  </si>
  <si>
    <t>Charlie Lee</t>
  </si>
  <si>
    <t>Finance</t>
  </si>
  <si>
    <t>EMP1004</t>
  </si>
  <si>
    <t>Diana Evans</t>
  </si>
  <si>
    <t>IT</t>
  </si>
  <si>
    <t>EMP1005</t>
  </si>
  <si>
    <t>Ethan Brown</t>
  </si>
  <si>
    <t>HR</t>
  </si>
  <si>
    <t>Attendance Status</t>
  </si>
  <si>
    <t>Average WorkHours per Department</t>
  </si>
  <si>
    <t>Late Comers Analysis</t>
  </si>
  <si>
    <t>Count of Overtime Hours</t>
  </si>
  <si>
    <t>Attendance</t>
  </si>
  <si>
    <t>Count of EmployeeID</t>
  </si>
  <si>
    <t>Average of WorkHours</t>
  </si>
  <si>
    <t>Count of LateMinutes</t>
  </si>
  <si>
    <t>Count</t>
  </si>
  <si>
    <t>Grand Total</t>
  </si>
  <si>
    <t>Department Wise Attendance</t>
  </si>
  <si>
    <t>No of employees location wise</t>
  </si>
  <si>
    <t>Row Labels</t>
  </si>
  <si>
    <t>Late</t>
  </si>
  <si>
    <t>OnTime</t>
  </si>
  <si>
    <t>Count of On Time Flag</t>
  </si>
  <si>
    <t xml:space="preserve">Login Punctuality </t>
  </si>
  <si>
    <t>Total No. of Employees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</si>
</sst>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sz val="14"/>
      <color theme="1"/>
      <name val="Calibri"/>
      <family val="2"/>
      <scheme val="minor"/>
    </font>
    <font>
      <b/>
      <sz val="12"/>
      <color theme="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5">
    <xf numFmtId="0" fontId="0" fillId="0" borderId="0" xfId="0"/>
    <xf numFmtId="14" fontId="0" fillId="0" borderId="0" xfId="0" applyNumberFormat="1"/>
    <xf numFmtId="21" fontId="0" fillId="0" borderId="0" xfId="0" applyNumberFormat="1"/>
    <xf numFmtId="1" fontId="0" fillId="0" borderId="0" xfId="0" applyNumberFormat="1"/>
    <xf numFmtId="0" fontId="0" fillId="0" borderId="0" xfId="0" pivotButton="1"/>
    <xf numFmtId="0" fontId="0" fillId="0" borderId="0" xfId="0" applyAlignment="1">
      <alignment horizontal="center"/>
    </xf>
    <xf numFmtId="0" fontId="0" fillId="0" borderId="0" xfId="0" pivotButton="1" applyAlignment="1">
      <alignment horizontal="center"/>
    </xf>
    <xf numFmtId="1" fontId="0" fillId="0" borderId="0" xfId="0" applyNumberFormat="1" applyAlignment="1">
      <alignment horizontal="center"/>
    </xf>
    <xf numFmtId="0" fontId="16" fillId="33" borderId="10" xfId="0" applyFont="1" applyFill="1" applyBorder="1"/>
    <xf numFmtId="0" fontId="0" fillId="0" borderId="0" xfId="0" applyAlignment="1">
      <alignment horizontal="left"/>
    </xf>
    <xf numFmtId="0" fontId="19" fillId="0" borderId="0" xfId="0" applyFont="1"/>
    <xf numFmtId="0" fontId="20" fillId="0" borderId="0" xfId="0" applyFont="1" applyAlignment="1">
      <alignment horizontal="center"/>
    </xf>
    <xf numFmtId="0" fontId="18" fillId="0" borderId="0" xfId="0" applyFont="1" applyAlignment="1">
      <alignment horizontal="center"/>
    </xf>
    <xf numFmtId="0" fontId="0" fillId="0" borderId="0" xfId="0" applyNumberFormat="1"/>
    <xf numFmtId="0" fontId="0" fillId="0" borderId="0" xfId="0" applyNumberFormat="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84">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0" formatCode="General"/>
    </dxf>
    <dxf>
      <numFmt numFmtId="1" formatCode="0"/>
    </dxf>
    <dxf>
      <numFmt numFmtId="1" formatCode="0"/>
    </dxf>
    <dxf>
      <numFmt numFmtId="26" formatCode="hh:mm:ss"/>
    </dxf>
    <dxf>
      <numFmt numFmtId="26" formatCode="hh:mm:ss"/>
    </dxf>
    <dxf>
      <numFmt numFmtId="19" formatCode="dd/mm/yyyy"/>
    </dxf>
    <dxf>
      <font>
        <b/>
        <i val="0"/>
        <strike val="0"/>
        <u/>
        <sz val="14"/>
        <color theme="0"/>
      </font>
      <border>
        <bottom style="thin">
          <color theme="7"/>
        </bottom>
        <vertical/>
        <horizontal/>
      </border>
    </dxf>
    <dxf>
      <font>
        <b/>
        <i val="0"/>
        <strike val="0"/>
        <sz val="12"/>
        <color theme="1"/>
        <name val="Aptos Narrow"/>
        <family val="2"/>
        <scheme val="none"/>
      </font>
      <fill>
        <patternFill>
          <bgColor theme="1"/>
        </patternFill>
      </fill>
      <border diagonalUp="0" diagonalDown="0">
        <left/>
        <right/>
        <top/>
        <bottom/>
        <vertical/>
        <horizontal/>
      </border>
    </dxf>
  </dxfs>
  <tableStyles count="1" defaultTableStyle="TableStyleMedium2" defaultPivotStyle="PivotStyleLight16">
    <tableStyle name="SlicerStyleDark4 2" pivot="0" table="0" count="10" xr9:uid="{D526BC67-7E85-4DA1-9DDD-8EDED6C9ED93}">
      <tableStyleElement type="wholeTable" dxfId="583"/>
      <tableStyleElement type="headerRow" dxfId="582"/>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theme="7" tint="0.59999389629810485"/>
              <bgColor theme="7" tint="0.59999389629810485"/>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0"/>
          </font>
          <fill>
            <patternFill patternType="solid">
              <fgColor theme="7"/>
              <bgColor theme="7"/>
            </patternFill>
          </fill>
          <border>
            <left style="thin">
              <color theme="7"/>
            </left>
            <right style="thin">
              <color theme="7"/>
            </right>
            <top style="thin">
              <color theme="7"/>
            </top>
            <bottom style="thin">
              <color theme="7"/>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4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17/10/relationships/person" Target="persons/perso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[Harika Bhudhiraju Attendance Project.xlsm]Pivot!PivotTable1</c:name>
    <c:fmtId val="7"/>
  </c:pivotSource>
  <c:chart>
    <c:autoTitleDeleted val="1"/>
    <c:pivotFmts>
      <c:pivotFmt>
        <c:idx val="0"/>
        <c:spPr>
          <a:solidFill>
            <a:srgbClr val="FFC00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lumMod val="60000"/>
              <a:lumOff val="40000"/>
            </a:schemeClr>
          </a:solidFill>
          <a:ln w="19050">
            <a:solidFill>
              <a:schemeClr val="lt1"/>
            </a:solidFill>
          </a:ln>
          <a:effectLst/>
        </c:spPr>
      </c:pivotFmt>
      <c:pivotFmt>
        <c:idx val="2"/>
        <c:spPr>
          <a:solidFill>
            <a:srgbClr val="FFC00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lumMod val="60000"/>
              <a:lumOff val="40000"/>
            </a:schemeClr>
          </a:solidFill>
          <a:ln w="19050">
            <a:solidFill>
              <a:schemeClr val="lt1"/>
            </a:solidFill>
          </a:ln>
          <a:effectLst/>
        </c:spPr>
      </c:pivotFmt>
      <c:pivotFmt>
        <c:idx val="4"/>
        <c:spPr>
          <a:solidFill>
            <a:srgbClr val="FFC000"/>
          </a:solidFill>
          <a:ln w="19050">
            <a:solidFill>
              <a:schemeClr val="lt1"/>
            </a:solidFill>
          </a:ln>
          <a:effectLst/>
        </c:spPr>
      </c:pivotFmt>
      <c:pivotFmt>
        <c:idx val="5"/>
        <c:spPr>
          <a:solidFill>
            <a:srgbClr val="FFC00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lumMod val="60000"/>
              <a:lumOff val="40000"/>
            </a:schemeClr>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fld id="{9735D716-369C-41EC-BCEA-45E6C700A8B8}" type="VALUE">
                  <a:rPr lang="en-US"/>
                  <a:pPr>
                    <a:defRPr sz="1400" b="1"/>
                  </a:pPr>
                  <a:t>[VALUE]</a:t>
                </a:fld>
                <a:r>
                  <a:rPr lang="en-US"/>
                  <a:t>%</a:t>
                </a:r>
              </a:p>
            </c:rich>
          </c:tx>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rgbClr val="FFC000"/>
          </a:solidFill>
          <a:ln w="19050">
            <a:solidFill>
              <a:schemeClr val="lt1"/>
            </a:solidFill>
          </a:ln>
          <a:effectLst/>
        </c:spPr>
        <c:dLbl>
          <c:idx val="0"/>
          <c:layout>
            <c:manualLayout>
              <c:x val="7.840526958843537E-2"/>
              <c:y val="-0.17055359246171967"/>
            </c:manualLayout>
          </c:layout>
          <c:tx>
            <c:rich>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fld id="{8EA3A8A3-2DF5-4867-8898-6766D5454800}" type="VALUE">
                  <a:rPr lang="en-US"/>
                  <a:pPr>
                    <a:defRPr sz="1400" b="1"/>
                  </a:pPr>
                  <a:t>[VALUE]</a:t>
                </a:fld>
                <a:r>
                  <a:rPr lang="en-US"/>
                  <a:t>%</a:t>
                </a:r>
              </a:p>
            </c:rich>
          </c:tx>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8.4658692292780752E-2"/>
          <c:y val="0.19421737477161644"/>
          <c:w val="0.49040103857985495"/>
          <c:h val="0.80578262522838351"/>
        </c:manualLayout>
      </c:layout>
      <c:pieChart>
        <c:varyColors val="1"/>
        <c:ser>
          <c:idx val="0"/>
          <c:order val="0"/>
          <c:tx>
            <c:strRef>
              <c:f>Pivot!$B$3</c:f>
              <c:strCache>
                <c:ptCount val="1"/>
                <c:pt idx="0">
                  <c:v>Total</c:v>
                </c:pt>
              </c:strCache>
            </c:strRef>
          </c:tx>
          <c:spPr>
            <a:solidFill>
              <a:srgbClr val="FFC000"/>
            </a:solidFill>
          </c:spPr>
          <c:dPt>
            <c:idx val="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01-D290-4A32-AC9E-97FFFB6E636F}"/>
              </c:ext>
            </c:extLst>
          </c:dPt>
          <c:dPt>
            <c:idx val="1"/>
            <c:bubble3D val="0"/>
            <c:spPr>
              <a:solidFill>
                <a:srgbClr val="FFC000"/>
              </a:solidFill>
              <a:ln w="19050">
                <a:solidFill>
                  <a:schemeClr val="lt1"/>
                </a:solidFill>
              </a:ln>
              <a:effectLst/>
            </c:spPr>
            <c:extLst>
              <c:ext xmlns:c16="http://schemas.microsoft.com/office/drawing/2014/chart" uri="{C3380CC4-5D6E-409C-BE32-E72D297353CC}">
                <c16:uniqueId val="{00000003-D290-4A32-AC9E-97FFFB6E636F}"/>
              </c:ext>
            </c:extLst>
          </c:dPt>
          <c:dLbls>
            <c:dLbl>
              <c:idx val="0"/>
              <c:tx>
                <c:rich>
                  <a:bodyPr/>
                  <a:lstStyle/>
                  <a:p>
                    <a:fld id="{9735D716-369C-41EC-BCEA-45E6C700A8B8}" type="VALUE">
                      <a:rPr lang="en-US"/>
                      <a:pPr/>
                      <a:t>[VALUE]</a:t>
                    </a:fld>
                    <a:r>
                      <a:rPr lang="en-US"/>
                      <a:t>%</a:t>
                    </a:r>
                  </a:p>
                </c:rich>
              </c:tx>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D290-4A32-AC9E-97FFFB6E636F}"/>
                </c:ext>
              </c:extLst>
            </c:dLbl>
            <c:dLbl>
              <c:idx val="1"/>
              <c:layout>
                <c:manualLayout>
                  <c:x val="7.840526958843537E-2"/>
                  <c:y val="-0.17055359246171967"/>
                </c:manualLayout>
              </c:layout>
              <c:tx>
                <c:rich>
                  <a:bodyPr/>
                  <a:lstStyle/>
                  <a:p>
                    <a:fld id="{8EA3A8A3-2DF5-4867-8898-6766D5454800}" type="VALUE">
                      <a:rPr lang="en-US"/>
                      <a:pPr/>
                      <a:t>[VALUE]</a:t>
                    </a:fld>
                    <a:r>
                      <a:rPr lang="en-US"/>
                      <a:t>%</a:t>
                    </a:r>
                  </a:p>
                </c:rich>
              </c:tx>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D290-4A32-AC9E-97FFFB6E636F}"/>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Pivot!$A$4:$A$6</c:f>
              <c:strCache>
                <c:ptCount val="2"/>
                <c:pt idx="0">
                  <c:v>Absent</c:v>
                </c:pt>
                <c:pt idx="1">
                  <c:v>Present</c:v>
                </c:pt>
              </c:strCache>
            </c:strRef>
          </c:cat>
          <c:val>
            <c:numRef>
              <c:f>Pivot!$B$4:$B$6</c:f>
              <c:numCache>
                <c:formatCode>General</c:formatCode>
                <c:ptCount val="2"/>
                <c:pt idx="0">
                  <c:v>12</c:v>
                </c:pt>
                <c:pt idx="1">
                  <c:v>88</c:v>
                </c:pt>
              </c:numCache>
            </c:numRef>
          </c:val>
          <c:extLst>
            <c:ext xmlns:c16="http://schemas.microsoft.com/office/drawing/2014/chart" uri="{C3380CC4-5D6E-409C-BE32-E72D297353CC}">
              <c16:uniqueId val="{00000004-D290-4A32-AC9E-97FFFB6E636F}"/>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9640200883882821"/>
          <c:y val="0.48818294797955919"/>
          <c:w val="0.37576577913991666"/>
          <c:h val="0.2509047234820029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[Harika Bhudhiraju Attendance Project.xlsm]Pivot!PivotTable3</c:name>
    <c:fmtId val="11"/>
  </c:pivotSource>
  <c:chart>
    <c:autoTitleDeleted val="1"/>
    <c:pivotFmts>
      <c:pivotFmt>
        <c:idx val="0"/>
        <c:spPr>
          <a:solidFill>
            <a:schemeClr val="accent4"/>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outerShdw blurRad="50800" dist="50800" dir="5400000" sx="1000" sy="1000" algn="ctr" rotWithShape="0">
              <a:srgbClr val="000000">
                <a:alpha val="43137"/>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a:outerShdw blurRad="50800" dist="50800" dir="5400000" sx="1000" sy="1000" algn="ctr" rotWithShape="0">
              <a:srgbClr val="000000">
                <a:alpha val="43137"/>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a:outerShdw blurRad="50800" dist="50800" dir="5400000" sx="1000" sy="1000" algn="ctr" rotWithShape="0">
              <a:srgbClr val="000000">
                <a:alpha val="43137"/>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a:outerShdw blurRad="50800" dist="50800" dir="5400000" sx="1000" sy="1000" algn="ctr" rotWithShape="0">
              <a:srgbClr val="000000">
                <a:alpha val="43137"/>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612995490948247"/>
          <c:y val="9.3898487766086794E-2"/>
          <c:w val="0.7838700450905175"/>
          <c:h val="0.88523518161922721"/>
        </c:manualLayout>
      </c:layout>
      <c:barChart>
        <c:barDir val="bar"/>
        <c:grouping val="clustered"/>
        <c:varyColors val="0"/>
        <c:ser>
          <c:idx val="0"/>
          <c:order val="0"/>
          <c:tx>
            <c:strRef>
              <c:f>Pivot!$E$3</c:f>
              <c:strCache>
                <c:ptCount val="1"/>
                <c:pt idx="0">
                  <c:v>Total</c:v>
                </c:pt>
              </c:strCache>
            </c:strRef>
          </c:tx>
          <c:spPr>
            <a:solidFill>
              <a:schemeClr val="accent4"/>
            </a:solidFill>
            <a:ln>
              <a:noFill/>
            </a:ln>
            <a:effectLst>
              <a:outerShdw blurRad="50800" dist="50800" dir="5400000" sx="1000" sy="1000" algn="ctr" rotWithShape="0">
                <a:srgbClr val="000000">
                  <a:alpha val="43137"/>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Pivot!$D$4:$D$9</c:f>
              <c:strCache>
                <c:ptCount val="5"/>
                <c:pt idx="0">
                  <c:v>Finance</c:v>
                </c:pt>
                <c:pt idx="1">
                  <c:v>HR</c:v>
                </c:pt>
                <c:pt idx="2">
                  <c:v>IT</c:v>
                </c:pt>
                <c:pt idx="3">
                  <c:v>Operations</c:v>
                </c:pt>
                <c:pt idx="4">
                  <c:v>Sales</c:v>
                </c:pt>
              </c:strCache>
            </c:strRef>
          </c:cat>
          <c:val>
            <c:numRef>
              <c:f>Pivot!$E$4:$E$9</c:f>
              <c:numCache>
                <c:formatCode>0</c:formatCode>
                <c:ptCount val="5"/>
                <c:pt idx="0">
                  <c:v>7.7484999999999999</c:v>
                </c:pt>
                <c:pt idx="1">
                  <c:v>7.7047368421052642</c:v>
                </c:pt>
                <c:pt idx="2">
                  <c:v>6.4385000000000003</c:v>
                </c:pt>
                <c:pt idx="3">
                  <c:v>7.5680952380952373</c:v>
                </c:pt>
                <c:pt idx="4">
                  <c:v>7.2629999999999999</c:v>
                </c:pt>
              </c:numCache>
            </c:numRef>
          </c:val>
          <c:extLst>
            <c:ext xmlns:c16="http://schemas.microsoft.com/office/drawing/2014/chart" uri="{C3380CC4-5D6E-409C-BE32-E72D297353CC}">
              <c16:uniqueId val="{00000002-9A65-4CC0-AC97-D89C1BB36707}"/>
            </c:ext>
          </c:extLst>
        </c:ser>
        <c:dLbls>
          <c:dLblPos val="outEnd"/>
          <c:showLegendKey val="0"/>
          <c:showVal val="1"/>
          <c:showCatName val="0"/>
          <c:showSerName val="0"/>
          <c:showPercent val="0"/>
          <c:showBubbleSize val="0"/>
        </c:dLbls>
        <c:gapWidth val="51"/>
        <c:overlap val="7"/>
        <c:axId val="336979648"/>
        <c:axId val="336993088"/>
      </c:barChart>
      <c:catAx>
        <c:axId val="3369796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336993088"/>
        <c:crosses val="autoZero"/>
        <c:auto val="1"/>
        <c:lblAlgn val="ctr"/>
        <c:lblOffset val="100"/>
        <c:noMultiLvlLbl val="0"/>
      </c:catAx>
      <c:valAx>
        <c:axId val="336993088"/>
        <c:scaling>
          <c:orientation val="minMax"/>
        </c:scaling>
        <c:delete val="1"/>
        <c:axPos val="b"/>
        <c:numFmt formatCode="0" sourceLinked="1"/>
        <c:majorTickMark val="none"/>
        <c:minorTickMark val="none"/>
        <c:tickLblPos val="nextTo"/>
        <c:crossAx val="336979648"/>
        <c:crosses val="autoZero"/>
        <c:crossBetween val="between"/>
      </c:valAx>
      <c:spPr>
        <a:noFill/>
        <a:ln>
          <a:noFill/>
        </a:ln>
        <a:effectLst>
          <a:softEdge rad="0"/>
        </a:effectLst>
      </c:spPr>
    </c:plotArea>
    <c:plotVisOnly val="1"/>
    <c:dispBlanksAs val="gap"/>
    <c:showDLblsOverMax val="0"/>
    <c:extLst/>
  </c:chart>
  <c:spPr>
    <a:solidFill>
      <a:schemeClr val="bg2">
        <a:lumMod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[Harika Bhudhiraju Attendance Project.xlsm]Pivot!PivotTable5</c:name>
    <c:fmtId val="16"/>
  </c:pivotSource>
  <c:chart>
    <c:autoTitleDeleted val="1"/>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860082707052923"/>
          <c:y val="3.3999270481691178E-2"/>
          <c:w val="0.78741352983051027"/>
          <c:h val="0.8416746864975212"/>
        </c:manualLayout>
      </c:layout>
      <c:areaChart>
        <c:grouping val="stacked"/>
        <c:varyColors val="0"/>
        <c:ser>
          <c:idx val="0"/>
          <c:order val="0"/>
          <c:tx>
            <c:strRef>
              <c:f>Pivot!$H$3</c:f>
              <c:strCache>
                <c:ptCount val="1"/>
                <c:pt idx="0">
                  <c:v>Total</c:v>
                </c:pt>
              </c:strCache>
            </c:strRef>
          </c:tx>
          <c:spPr>
            <a:solidFill>
              <a:srgbClr val="FFC000"/>
            </a:solidFill>
            <a:ln>
              <a:noFill/>
            </a:ln>
            <a:effectLst/>
          </c:spPr>
          <c:cat>
            <c:strRef>
              <c:f>Pivot!$G$4:$G$9</c:f>
              <c:strCache>
                <c:ptCount val="5"/>
                <c:pt idx="0">
                  <c:v>Alice Johnson</c:v>
                </c:pt>
                <c:pt idx="1">
                  <c:v>Bob Smith</c:v>
                </c:pt>
                <c:pt idx="2">
                  <c:v>Charlie Lee</c:v>
                </c:pt>
                <c:pt idx="3">
                  <c:v>Diana Evans</c:v>
                </c:pt>
                <c:pt idx="4">
                  <c:v>Ethan Brown</c:v>
                </c:pt>
              </c:strCache>
            </c:strRef>
          </c:cat>
          <c:val>
            <c:numRef>
              <c:f>Pivot!$H$4:$H$9</c:f>
              <c:numCache>
                <c:formatCode>General</c:formatCode>
                <c:ptCount val="5"/>
                <c:pt idx="0">
                  <c:v>20</c:v>
                </c:pt>
                <c:pt idx="1">
                  <c:v>21</c:v>
                </c:pt>
                <c:pt idx="2">
                  <c:v>20</c:v>
                </c:pt>
                <c:pt idx="3">
                  <c:v>20</c:v>
                </c:pt>
                <c:pt idx="4">
                  <c:v>19</c:v>
                </c:pt>
              </c:numCache>
            </c:numRef>
          </c:val>
          <c:extLst>
            <c:ext xmlns:c16="http://schemas.microsoft.com/office/drawing/2014/chart" uri="{C3380CC4-5D6E-409C-BE32-E72D297353CC}">
              <c16:uniqueId val="{00000000-2E58-4F8C-A324-D57A0327FA66}"/>
            </c:ext>
          </c:extLst>
        </c:ser>
        <c:dLbls>
          <c:showLegendKey val="0"/>
          <c:showVal val="0"/>
          <c:showCatName val="0"/>
          <c:showSerName val="0"/>
          <c:showPercent val="0"/>
          <c:showBubbleSize val="0"/>
        </c:dLbls>
        <c:axId val="1823982432"/>
        <c:axId val="1823980512"/>
      </c:areaChart>
      <c:catAx>
        <c:axId val="18239824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823980512"/>
        <c:crosses val="autoZero"/>
        <c:auto val="1"/>
        <c:lblAlgn val="ctr"/>
        <c:lblOffset val="100"/>
        <c:noMultiLvlLbl val="0"/>
      </c:catAx>
      <c:valAx>
        <c:axId val="182398051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823982432"/>
        <c:crosses val="autoZero"/>
        <c:crossBetween val="midCat"/>
      </c:valAx>
      <c:spPr>
        <a:solidFill>
          <a:schemeClr val="bg2">
            <a:lumMod val="25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[Harika Bhudhiraju Attendance Project.xlsm]Pivot!PivotTable11</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1050" b="1"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4.6222222222222227E-2"/>
                  <c:h val="4.5462962962962955E-2"/>
                </c:manualLayout>
              </c15:layout>
            </c:ext>
          </c:extLst>
        </c:dLbl>
      </c:pivotFmt>
      <c:pivotFmt>
        <c:idx val="2"/>
        <c:spPr>
          <a:solidFill>
            <a:schemeClr val="accent6">
              <a:lumMod val="75000"/>
            </a:schemeClr>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1050" b="1" i="0" u="none" strike="noStrike" kern="1200" baseline="0">
                    <a:solidFill>
                      <a:schemeClr val="bg1">
                        <a:lumMod val="95000"/>
                      </a:schemeClr>
                    </a:solidFill>
                    <a:latin typeface="+mn-lt"/>
                    <a:ea typeface="+mn-ea"/>
                    <a:cs typeface="+mn-cs"/>
                  </a:defRPr>
                </a:pPr>
                <a:fld id="{02951C6D-9D70-4F6D-BDC1-194D6BE27EC2}" type="VALUE">
                  <a:rPr lang="en-US"/>
                  <a:pPr>
                    <a:defRPr sz="1050" b="1" i="0" u="none" strike="noStrike" kern="1200" baseline="0">
                      <a:solidFill>
                        <a:schemeClr val="bg1">
                          <a:lumMod val="9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95000"/>
                    </a:schemeClr>
                  </a:solidFill>
                  <a:latin typeface="+mn-lt"/>
                  <a:ea typeface="+mn-ea"/>
                  <a:cs typeface="+mn-cs"/>
                </a:defRPr>
              </a:pPr>
              <a:endParaRPr lang="en-IN"/>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lumMod val="7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1050" b="1"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4.6222222222222227E-2"/>
                  <c:h val="4.5462962962962955E-2"/>
                </c:manualLayout>
              </c15:layout>
            </c:ext>
          </c:extLst>
        </c:dLbl>
      </c:pivotFmt>
      <c:pivotFmt>
        <c:idx val="5"/>
        <c:spPr>
          <a:solidFill>
            <a:schemeClr val="accent6">
              <a:lumMod val="75000"/>
            </a:schemeClr>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1050" b="1" i="0" u="none" strike="noStrike" kern="1200" baseline="0">
                    <a:solidFill>
                      <a:schemeClr val="bg1">
                        <a:lumMod val="95000"/>
                      </a:schemeClr>
                    </a:solidFill>
                    <a:latin typeface="+mn-lt"/>
                    <a:ea typeface="+mn-ea"/>
                    <a:cs typeface="+mn-cs"/>
                  </a:defRPr>
                </a:pPr>
                <a:fld id="{02951C6D-9D70-4F6D-BDC1-194D6BE27EC2}" type="VALUE">
                  <a:rPr lang="en-US"/>
                  <a:pPr>
                    <a:defRPr sz="1050" b="1" i="0" u="none" strike="noStrike" kern="1200" baseline="0">
                      <a:solidFill>
                        <a:schemeClr val="bg1">
                          <a:lumMod val="9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95000"/>
                    </a:schemeClr>
                  </a:solidFill>
                  <a:latin typeface="+mn-lt"/>
                  <a:ea typeface="+mn-ea"/>
                  <a:cs typeface="+mn-cs"/>
                </a:defRPr>
              </a:pPr>
              <a:endParaRPr lang="en-IN"/>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lumMod val="7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1050" b="1"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4.6222222222222227E-2"/>
                  <c:h val="4.5462962962962955E-2"/>
                </c:manualLayout>
              </c15:layout>
            </c:ext>
          </c:extLst>
        </c:dLbl>
      </c:pivotFmt>
      <c:pivotFmt>
        <c:idx val="8"/>
        <c:spPr>
          <a:solidFill>
            <a:schemeClr val="accent6">
              <a:lumMod val="75000"/>
            </a:schemeClr>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1050" b="1" i="0" u="none" strike="noStrike" kern="1200" baseline="0">
                    <a:solidFill>
                      <a:schemeClr val="bg1">
                        <a:lumMod val="95000"/>
                      </a:schemeClr>
                    </a:solidFill>
                    <a:latin typeface="+mn-lt"/>
                    <a:ea typeface="+mn-ea"/>
                    <a:cs typeface="+mn-cs"/>
                  </a:defRPr>
                </a:pPr>
                <a:fld id="{02951C6D-9D70-4F6D-BDC1-194D6BE27EC2}" type="VALUE">
                  <a:rPr lang="en-US"/>
                  <a:pPr>
                    <a:defRPr sz="1050" b="1">
                      <a:solidFill>
                        <a:schemeClr val="bg1">
                          <a:lumMod val="95000"/>
                        </a:schemeClr>
                      </a:solidFill>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17863456362345934"/>
          <c:y val="0.18767940873263328"/>
          <c:w val="0.57446644245891876"/>
          <c:h val="0.69468124876159476"/>
        </c:manualLayout>
      </c:layout>
      <c:doughnutChart>
        <c:varyColors val="1"/>
        <c:ser>
          <c:idx val="0"/>
          <c:order val="0"/>
          <c:tx>
            <c:strRef>
              <c:f>Pivot!$I$15</c:f>
              <c:strCache>
                <c:ptCount val="1"/>
                <c:pt idx="0">
                  <c:v>Total</c:v>
                </c:pt>
              </c:strCache>
            </c:strRef>
          </c:tx>
          <c:dPt>
            <c:idx val="0"/>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1-43DB-4CE7-9286-1A742BCD88B4}"/>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43DB-4CE7-9286-1A742BCD88B4}"/>
              </c:ext>
            </c:extLst>
          </c:dPt>
          <c:dLbls>
            <c:dLbl>
              <c:idx val="0"/>
              <c:spPr>
                <a:noFill/>
                <a:ln>
                  <a:noFill/>
                </a:ln>
                <a:effectLst/>
              </c:spPr>
              <c:txPr>
                <a:bodyPr rot="0" spcFirstLastPara="1" vertOverflow="ellipsis" vert="horz" wrap="square" lIns="38100" tIns="19050" rIns="38100" bIns="19050" anchor="ctr" anchorCtr="1">
                  <a:noAutofit/>
                </a:bodyPr>
                <a:lstStyle/>
                <a:p>
                  <a:pPr>
                    <a:defRPr sz="1050" b="1"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4.6222222222222227E-2"/>
                      <c:h val="4.5462962962962955E-2"/>
                    </c:manualLayout>
                  </c15:layout>
                </c:ext>
                <c:ext xmlns:c16="http://schemas.microsoft.com/office/drawing/2014/chart" uri="{C3380CC4-5D6E-409C-BE32-E72D297353CC}">
                  <c16:uniqueId val="{00000001-43DB-4CE7-9286-1A742BCD88B4}"/>
                </c:ext>
              </c:extLst>
            </c:dLbl>
            <c:dLbl>
              <c:idx val="1"/>
              <c:tx>
                <c:rich>
                  <a:bodyPr/>
                  <a:lstStyle/>
                  <a:p>
                    <a:fld id="{02951C6D-9D70-4F6D-BDC1-194D6BE27EC2}" type="VALUE">
                      <a:rPr lang="en-US"/>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43DB-4CE7-9286-1A742BCD88B4}"/>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Pivot!$H$16:$H$18</c:f>
              <c:strCache>
                <c:ptCount val="2"/>
                <c:pt idx="0">
                  <c:v>Late</c:v>
                </c:pt>
                <c:pt idx="1">
                  <c:v>OnTime</c:v>
                </c:pt>
              </c:strCache>
            </c:strRef>
          </c:cat>
          <c:val>
            <c:numRef>
              <c:f>Pivot!$I$16:$I$18</c:f>
              <c:numCache>
                <c:formatCode>General</c:formatCode>
                <c:ptCount val="2"/>
                <c:pt idx="0">
                  <c:v>64</c:v>
                </c:pt>
                <c:pt idx="1">
                  <c:v>36</c:v>
                </c:pt>
              </c:numCache>
            </c:numRef>
          </c:val>
          <c:extLst>
            <c:ext xmlns:c16="http://schemas.microsoft.com/office/drawing/2014/chart" uri="{C3380CC4-5D6E-409C-BE32-E72D297353CC}">
              <c16:uniqueId val="{00000004-43DB-4CE7-9286-1A742BCD88B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76978324584426949"/>
          <c:y val="0.40883457276173818"/>
          <c:w val="0.14410564304461942"/>
          <c:h val="0.17307159521726453"/>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bg1">
                  <a:lumMod val="9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[Harika Bhudhiraju Attendance Project.xlsm]Pivot!PivotTable7</c:name>
    <c:fmtId val="12"/>
  </c:pivotSource>
  <c:chart>
    <c:autoTitleDeleted val="1"/>
    <c:pivotFmts>
      <c:pivotFmt>
        <c:idx val="0"/>
        <c:spPr>
          <a:pattFill prst="ltUpDiag">
            <a:fgClr>
              <a:schemeClr val="accent4"/>
            </a:fgClr>
            <a:bgClr>
              <a:schemeClr val="lt1"/>
            </a:bgClr>
          </a:pattFill>
          <a:ln w="34925" cap="rnd">
            <a:solidFill>
              <a:schemeClr val="lt1"/>
            </a:solidFill>
            <a:round/>
          </a:ln>
          <a:effectLst>
            <a:outerShdw dist="25400" dir="2700000" algn="tl" rotWithShape="0">
              <a:schemeClr val="accent4"/>
            </a:outerShdw>
          </a:effectLst>
        </c:spPr>
        <c:marker>
          <c:symbol val="circle"/>
          <c:size val="5"/>
          <c:spPr>
            <a:solidFill>
              <a:schemeClr val="accent4"/>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4"/>
            </a:fgClr>
            <a:bgClr>
              <a:schemeClr val="lt1"/>
            </a:bgClr>
          </a:pattFill>
          <a:ln w="34925" cap="rnd">
            <a:solidFill>
              <a:schemeClr val="lt1"/>
            </a:solidFill>
            <a:round/>
          </a:ln>
          <a:effectLst>
            <a:outerShdw dist="25400" dir="2700000" algn="tl" rotWithShape="0">
              <a:schemeClr val="accent4"/>
            </a:outerShdw>
          </a:effectLst>
        </c:spPr>
        <c:marker>
          <c:symbol val="circle"/>
          <c:size val="5"/>
          <c:spPr>
            <a:solidFill>
              <a:schemeClr val="accent4"/>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lt1"/>
            </a:solidFill>
            <a:round/>
          </a:ln>
          <a:effectLst>
            <a:outerShdw dist="25400" dir="2700000" algn="tl" rotWithShape="0">
              <a:schemeClr val="accent4"/>
            </a:outerShdw>
          </a:effectLst>
        </c:spPr>
        <c:marker>
          <c:symbol val="circle"/>
          <c:size val="5"/>
          <c:spPr>
            <a:solidFill>
              <a:schemeClr val="accent4"/>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41387326584177"/>
          <c:y val="0.10721812239539638"/>
          <c:w val="0.83348031496062991"/>
          <c:h val="0.75214779216146876"/>
        </c:manualLayout>
      </c:layout>
      <c:lineChart>
        <c:grouping val="standard"/>
        <c:varyColors val="0"/>
        <c:ser>
          <c:idx val="0"/>
          <c:order val="0"/>
          <c:tx>
            <c:strRef>
              <c:f>Pivot!$F$12</c:f>
              <c:strCache>
                <c:ptCount val="1"/>
                <c:pt idx="0">
                  <c:v>Total</c:v>
                </c:pt>
              </c:strCache>
            </c:strRef>
          </c:tx>
          <c:spPr>
            <a:ln w="34925" cap="rnd">
              <a:solidFill>
                <a:schemeClr val="lt1"/>
              </a:solidFill>
              <a:round/>
            </a:ln>
            <a:effectLst>
              <a:outerShdw dist="25400" dir="2700000" algn="tl" rotWithShape="0">
                <a:schemeClr val="accent4"/>
              </a:outerShdw>
            </a:effectLst>
          </c:spPr>
          <c:marker>
            <c:symbol val="circle"/>
            <c:size val="5"/>
            <c:spPr>
              <a:solidFill>
                <a:schemeClr val="accent4"/>
              </a:solidFill>
              <a:ln w="22225">
                <a:solidFill>
                  <a:schemeClr val="lt1"/>
                </a:solidFill>
                <a:round/>
              </a:ln>
              <a:effectLst/>
            </c:spPr>
          </c:marker>
          <c:cat>
            <c:strRef>
              <c:f>Pivot!$E$13:$E$16</c:f>
              <c:strCache>
                <c:ptCount val="3"/>
                <c:pt idx="0">
                  <c:v>Bangalore</c:v>
                </c:pt>
                <c:pt idx="1">
                  <c:v>Hyderabad</c:v>
                </c:pt>
                <c:pt idx="2">
                  <c:v>Remote</c:v>
                </c:pt>
              </c:strCache>
            </c:strRef>
          </c:cat>
          <c:val>
            <c:numRef>
              <c:f>Pivot!$F$13:$F$16</c:f>
              <c:numCache>
                <c:formatCode>General</c:formatCode>
                <c:ptCount val="3"/>
                <c:pt idx="0">
                  <c:v>39</c:v>
                </c:pt>
                <c:pt idx="1">
                  <c:v>32</c:v>
                </c:pt>
                <c:pt idx="2">
                  <c:v>29</c:v>
                </c:pt>
              </c:numCache>
            </c:numRef>
          </c:val>
          <c:smooth val="0"/>
          <c:extLst>
            <c:ext xmlns:c16="http://schemas.microsoft.com/office/drawing/2014/chart" uri="{C3380CC4-5D6E-409C-BE32-E72D297353CC}">
              <c16:uniqueId val="{00000000-6BFE-45F0-985B-4AEFF35F7A31}"/>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822138896"/>
        <c:axId val="1822142256"/>
      </c:lineChart>
      <c:catAx>
        <c:axId val="182213889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1050" b="1" i="0" u="none" strike="noStrike" kern="1200" spc="100" baseline="0">
                <a:solidFill>
                  <a:schemeClr val="tx1">
                    <a:lumMod val="85000"/>
                    <a:lumOff val="15000"/>
                  </a:schemeClr>
                </a:solidFill>
                <a:latin typeface="+mn-lt"/>
                <a:ea typeface="+mn-ea"/>
                <a:cs typeface="+mn-cs"/>
              </a:defRPr>
            </a:pPr>
            <a:endParaRPr lang="en-US"/>
          </a:p>
        </c:txPr>
        <c:crossAx val="1822142256"/>
        <c:crosses val="autoZero"/>
        <c:auto val="1"/>
        <c:lblAlgn val="ctr"/>
        <c:lblOffset val="100"/>
        <c:noMultiLvlLbl val="0"/>
      </c:catAx>
      <c:valAx>
        <c:axId val="1822142256"/>
        <c:scaling>
          <c:orientation val="minMax"/>
        </c:scaling>
        <c:delete val="0"/>
        <c:axPos val="l"/>
        <c:numFmt formatCode="General" sourceLinked="1"/>
        <c:majorTickMark val="none"/>
        <c:minorTickMark val="none"/>
        <c:tickLblPos val="nextTo"/>
        <c:spPr>
          <a:noFill/>
          <a:ln>
            <a:noFill/>
          </a:ln>
          <a:effectLst>
            <a:innerShdw blurRad="63500" dist="50800" dir="13500000">
              <a:prstClr val="black">
                <a:alpha val="50000"/>
              </a:prstClr>
            </a:innerShdw>
          </a:effectLst>
        </c:spPr>
        <c:txPr>
          <a:bodyPr rot="-60000000" spcFirstLastPara="1" vertOverflow="ellipsis" vert="horz" wrap="square" anchor="ctr" anchorCtr="1"/>
          <a:lstStyle/>
          <a:p>
            <a:pPr>
              <a:defRPr sz="900" b="1" i="0" u="none" strike="noStrike" kern="1200" baseline="0">
                <a:solidFill>
                  <a:schemeClr val="tx1">
                    <a:lumMod val="85000"/>
                    <a:lumOff val="15000"/>
                  </a:schemeClr>
                </a:solidFill>
                <a:latin typeface="+mn-lt"/>
                <a:ea typeface="+mn-ea"/>
                <a:cs typeface="+mn-cs"/>
              </a:defRPr>
            </a:pPr>
            <a:endParaRPr lang="en-US"/>
          </a:p>
        </c:txPr>
        <c:crossAx val="1822138896"/>
        <c:crosses val="autoZero"/>
        <c:crossBetween val="between"/>
      </c:valAx>
      <c:spPr>
        <a:solidFill>
          <a:schemeClr val="tx1">
            <a:lumMod val="75000"/>
            <a:lumOff val="25000"/>
          </a:schemeClr>
        </a:solid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4"/>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[Harika Bhudhiraju Attendance Project.xlsm]Pivot!PivotTable8</c:name>
    <c:fmtId val="6"/>
  </c:pivotSource>
  <c:chart>
    <c:autoTitleDeleted val="0"/>
    <c:pivotFmts>
      <c:pivotFmt>
        <c:idx val="0"/>
        <c:spPr>
          <a:solidFill>
            <a:schemeClr val="accent2">
              <a:lumMod val="75000"/>
            </a:schemeClr>
          </a:solidFill>
          <a:ln>
            <a:noFill/>
          </a:ln>
          <a:effectLst/>
          <a:sp3d/>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a:sp3d/>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solidFill>
          <a:schemeClr val="bg2">
            <a:lumMod val="50000"/>
          </a:schemeClr>
        </a:solidFill>
        <a:ln>
          <a:noFill/>
        </a:ln>
        <a:effectLst/>
        <a:sp3d/>
      </c:spPr>
    </c:sideWall>
    <c:backWall>
      <c:thickness val="0"/>
      <c:spPr>
        <a:solidFill>
          <a:schemeClr val="bg2">
            <a:lumMod val="50000"/>
          </a:schemeClr>
        </a:solidFill>
        <a:ln>
          <a:noFill/>
        </a:ln>
        <a:effectLst/>
        <a:sp3d/>
      </c:spPr>
    </c:backWall>
    <c:plotArea>
      <c:layout>
        <c:manualLayout>
          <c:layoutTarget val="inner"/>
          <c:xMode val="edge"/>
          <c:yMode val="edge"/>
          <c:x val="9.6832531350247886E-2"/>
          <c:y val="9.8667400030878483E-2"/>
          <c:w val="0.61153725575969675"/>
          <c:h val="0.59974139262004023"/>
        </c:manualLayout>
      </c:layout>
      <c:bar3DChart>
        <c:barDir val="col"/>
        <c:grouping val="clustered"/>
        <c:varyColors val="0"/>
        <c:ser>
          <c:idx val="0"/>
          <c:order val="0"/>
          <c:tx>
            <c:strRef>
              <c:f>Pivot!$B$12:$B$13</c:f>
              <c:strCache>
                <c:ptCount val="1"/>
                <c:pt idx="0">
                  <c:v>Absent</c:v>
                </c:pt>
              </c:strCache>
            </c:strRef>
          </c:tx>
          <c:spPr>
            <a:solidFill>
              <a:schemeClr val="accent2">
                <a:lumMod val="75000"/>
              </a:schemeClr>
            </a:solidFill>
            <a:ln>
              <a:noFill/>
            </a:ln>
            <a:effectLst/>
            <a:sp3d/>
          </c:spPr>
          <c:invertIfNegative val="0"/>
          <c:cat>
            <c:strRef>
              <c:f>Pivot!$A$14:$A$19</c:f>
              <c:strCache>
                <c:ptCount val="5"/>
                <c:pt idx="0">
                  <c:v>Finance</c:v>
                </c:pt>
                <c:pt idx="1">
                  <c:v>HR</c:v>
                </c:pt>
                <c:pt idx="2">
                  <c:v>IT</c:v>
                </c:pt>
                <c:pt idx="3">
                  <c:v>Operations</c:v>
                </c:pt>
                <c:pt idx="4">
                  <c:v>Sales</c:v>
                </c:pt>
              </c:strCache>
            </c:strRef>
          </c:cat>
          <c:val>
            <c:numRef>
              <c:f>Pivot!$B$14:$B$19</c:f>
              <c:numCache>
                <c:formatCode>General</c:formatCode>
                <c:ptCount val="5"/>
                <c:pt idx="0">
                  <c:v>2</c:v>
                </c:pt>
                <c:pt idx="1">
                  <c:v>1</c:v>
                </c:pt>
                <c:pt idx="2">
                  <c:v>5</c:v>
                </c:pt>
                <c:pt idx="3">
                  <c:v>2</c:v>
                </c:pt>
                <c:pt idx="4">
                  <c:v>2</c:v>
                </c:pt>
              </c:numCache>
            </c:numRef>
          </c:val>
          <c:extLst>
            <c:ext xmlns:c16="http://schemas.microsoft.com/office/drawing/2014/chart" uri="{C3380CC4-5D6E-409C-BE32-E72D297353CC}">
              <c16:uniqueId val="{00000000-D207-4B92-9D4E-91638DBE788B}"/>
            </c:ext>
          </c:extLst>
        </c:ser>
        <c:ser>
          <c:idx val="1"/>
          <c:order val="1"/>
          <c:tx>
            <c:strRef>
              <c:f>Pivot!$C$12:$C$13</c:f>
              <c:strCache>
                <c:ptCount val="1"/>
                <c:pt idx="0">
                  <c:v>Present</c:v>
                </c:pt>
              </c:strCache>
            </c:strRef>
          </c:tx>
          <c:spPr>
            <a:solidFill>
              <a:schemeClr val="accent6"/>
            </a:solidFill>
            <a:ln>
              <a:noFill/>
            </a:ln>
            <a:effectLst/>
            <a:sp3d/>
          </c:spPr>
          <c:invertIfNegative val="0"/>
          <c:cat>
            <c:strRef>
              <c:f>Pivot!$A$14:$A$19</c:f>
              <c:strCache>
                <c:ptCount val="5"/>
                <c:pt idx="0">
                  <c:v>Finance</c:v>
                </c:pt>
                <c:pt idx="1">
                  <c:v>HR</c:v>
                </c:pt>
                <c:pt idx="2">
                  <c:v>IT</c:v>
                </c:pt>
                <c:pt idx="3">
                  <c:v>Operations</c:v>
                </c:pt>
                <c:pt idx="4">
                  <c:v>Sales</c:v>
                </c:pt>
              </c:strCache>
            </c:strRef>
          </c:cat>
          <c:val>
            <c:numRef>
              <c:f>Pivot!$C$14:$C$19</c:f>
              <c:numCache>
                <c:formatCode>General</c:formatCode>
                <c:ptCount val="5"/>
                <c:pt idx="0">
                  <c:v>18</c:v>
                </c:pt>
                <c:pt idx="1">
                  <c:v>18</c:v>
                </c:pt>
                <c:pt idx="2">
                  <c:v>15</c:v>
                </c:pt>
                <c:pt idx="3">
                  <c:v>19</c:v>
                </c:pt>
                <c:pt idx="4">
                  <c:v>18</c:v>
                </c:pt>
              </c:numCache>
            </c:numRef>
          </c:val>
          <c:extLst>
            <c:ext xmlns:c16="http://schemas.microsoft.com/office/drawing/2014/chart" uri="{C3380CC4-5D6E-409C-BE32-E72D297353CC}">
              <c16:uniqueId val="{00000002-19C0-4BAF-95A9-ECE3BC83E8C4}"/>
            </c:ext>
          </c:extLst>
        </c:ser>
        <c:dLbls>
          <c:showLegendKey val="0"/>
          <c:showVal val="0"/>
          <c:showCatName val="0"/>
          <c:showSerName val="0"/>
          <c:showPercent val="0"/>
          <c:showBubbleSize val="0"/>
        </c:dLbls>
        <c:gapWidth val="219"/>
        <c:shape val="box"/>
        <c:axId val="1823966592"/>
        <c:axId val="1823960832"/>
        <c:axId val="0"/>
      </c:bar3DChart>
      <c:catAx>
        <c:axId val="1823966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823960832"/>
        <c:crosses val="autoZero"/>
        <c:auto val="1"/>
        <c:lblAlgn val="ctr"/>
        <c:lblOffset val="100"/>
        <c:noMultiLvlLbl val="0"/>
      </c:catAx>
      <c:valAx>
        <c:axId val="18239608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823966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txData>
          <cx:v/>
        </cx:txData>
      </cx:tx>
      <cx:txPr>
        <a:bodyPr spcFirstLastPara="1" vertOverflow="ellipsis" horzOverflow="overflow" wrap="square" lIns="0" tIns="0" rIns="0" bIns="0" anchor="ctr" anchorCtr="1"/>
        <a:lstStyle/>
        <a:p>
          <a:pPr algn="ctr" rtl="0">
            <a:defRPr/>
          </a:pPr>
          <a:endParaRPr lang="en-US" sz="1400" b="0" i="0" u="none" strike="noStrike" baseline="0">
            <a:solidFill>
              <a:sysClr val="windowText" lastClr="000000">
                <a:lumMod val="65000"/>
                <a:lumOff val="35000"/>
              </a:sysClr>
            </a:solidFill>
            <a:latin typeface="Calibri" panose="020F0502020204030204"/>
          </a:endParaRPr>
        </a:p>
      </cx:txPr>
    </cx:title>
    <cx:plotArea>
      <cx:plotAreaRegion>
        <cx:series layoutId="treemap" uniqueId="{D66EAE79-3001-4C97-936F-88B487A3D548}">
          <cx:tx>
            <cx:txData>
              <cx:f>_xlchart.v1.1</cx:f>
              <cx:v>Count</cx:v>
            </cx:txData>
          </cx:tx>
          <cx:dataLabels pos="inEnd">
            <cx:txPr>
              <a:bodyPr spcFirstLastPara="1" vertOverflow="ellipsis" horzOverflow="overflow" wrap="square" lIns="0" tIns="0" rIns="0" bIns="0" anchor="ctr" anchorCtr="1"/>
              <a:lstStyle/>
              <a:p>
                <a:pPr algn="ctr" rtl="0">
                  <a:defRPr sz="1050" b="1">
                    <a:solidFill>
                      <a:schemeClr val="bg1">
                        <a:lumMod val="95000"/>
                      </a:schemeClr>
                    </a:solidFill>
                  </a:defRPr>
                </a:pPr>
                <a:endParaRPr lang="en-US" sz="1050" b="1" i="0" u="none" strike="noStrike" baseline="0">
                  <a:solidFill>
                    <a:schemeClr val="bg1">
                      <a:lumMod val="95000"/>
                    </a:schemeClr>
                  </a:solidFill>
                  <a:latin typeface="Calibri" panose="020F0502020204030204"/>
                </a:endParaRPr>
              </a:p>
            </cx:txPr>
            <cx:visibility seriesName="0" categoryName="1" value="0"/>
          </cx:dataLabels>
          <cx:dataId val="0"/>
          <cx:layoutPr>
            <cx:parentLabelLayout val="overlapping"/>
          </cx:layoutPr>
        </cx:series>
      </cx:plotAreaRegion>
    </cx:plotArea>
    <cx:legend pos="t" align="ctr" overlay="0">
      <cx:txPr>
        <a:bodyPr spcFirstLastPara="1" vertOverflow="ellipsis" horzOverflow="overflow" wrap="square" lIns="0" tIns="0" rIns="0" bIns="0" anchor="ctr" anchorCtr="1"/>
        <a:lstStyle/>
        <a:p>
          <a:pPr algn="ctr" rtl="0">
            <a:defRPr sz="1000" b="1">
              <a:solidFill>
                <a:schemeClr val="bg1"/>
              </a:solidFill>
            </a:defRPr>
          </a:pPr>
          <a:endParaRPr lang="en-US" sz="1000" b="1" i="0" u="none" strike="noStrike" baseline="0">
            <a:solidFill>
              <a:schemeClr val="bg1"/>
            </a:solidFill>
            <a:latin typeface="Calibri" panose="020F0502020204030204"/>
          </a:endParaRPr>
        </a:p>
      </cx:txPr>
    </cx:legend>
  </cx:chart>
  <cx:spPr>
    <a:solidFill>
      <a:schemeClr val="tx1">
        <a:lumMod val="75000"/>
        <a:lumOff val="25000"/>
      </a:schemeClr>
    </a:solid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txData>
          <cx:v/>
        </cx:txData>
      </cx:tx>
      <cx:txPr>
        <a:bodyPr spcFirstLastPara="1" vertOverflow="ellipsis" horzOverflow="overflow" wrap="square" lIns="0" tIns="0" rIns="0" bIns="0" anchor="ctr" anchorCtr="1"/>
        <a:lstStyle/>
        <a:p>
          <a:pPr algn="ctr" rtl="0">
            <a:defRPr/>
          </a:pPr>
          <a:endParaRPr lang="en-US" sz="1400" b="0" i="0" u="none" strike="noStrike" baseline="0">
            <a:solidFill>
              <a:sysClr val="windowText" lastClr="000000">
                <a:lumMod val="65000"/>
                <a:lumOff val="35000"/>
              </a:sysClr>
            </a:solidFill>
            <a:latin typeface="Calibri" panose="020F0502020204030204"/>
          </a:endParaRPr>
        </a:p>
      </cx:txPr>
    </cx:title>
    <cx:plotArea>
      <cx:plotAreaRegion>
        <cx:series layoutId="treemap" uniqueId="{D66EAE79-3001-4C97-936F-88B487A3D548}">
          <cx:tx>
            <cx:txData>
              <cx:f>_xlchart.v1.4</cx:f>
              <cx:v>Count</cx:v>
            </cx:txData>
          </cx:tx>
          <cx:dataLabels>
            <cx:txPr>
              <a:bodyPr spcFirstLastPara="1" vertOverflow="ellipsis" horzOverflow="overflow" wrap="square" lIns="0" tIns="0" rIns="0" bIns="0" anchor="ctr" anchorCtr="1"/>
              <a:lstStyle/>
              <a:p>
                <a:pPr algn="ctr" rtl="0">
                  <a:defRPr sz="1050" b="1">
                    <a:solidFill>
                      <a:schemeClr val="bg1">
                        <a:lumMod val="95000"/>
                      </a:schemeClr>
                    </a:solidFill>
                  </a:defRPr>
                </a:pPr>
                <a:endParaRPr lang="en-US" sz="1050" b="1" i="0" u="none" strike="noStrike" baseline="0">
                  <a:solidFill>
                    <a:schemeClr val="bg1">
                      <a:lumMod val="95000"/>
                    </a:schemeClr>
                  </a:solidFill>
                  <a:latin typeface="Calibri" panose="020F0502020204030204"/>
                </a:endParaRPr>
              </a:p>
            </cx:txPr>
            <cx:visibility seriesName="0" categoryName="1" value="1"/>
            <cx:separator> </cx:separator>
          </cx:dataLabels>
          <cx:dataId val="0"/>
          <cx:layoutPr>
            <cx:parentLabelLayout val="overlapping"/>
          </cx:layoutPr>
        </cx:series>
      </cx:plotAreaRegion>
    </cx:plotArea>
    <cx:legend pos="t" align="ctr" overlay="0">
      <cx:txPr>
        <a:bodyPr spcFirstLastPara="1" vertOverflow="ellipsis" horzOverflow="overflow" wrap="square" lIns="0" tIns="0" rIns="0" bIns="0" anchor="ctr" anchorCtr="1"/>
        <a:lstStyle/>
        <a:p>
          <a:pPr algn="ctr" rtl="0">
            <a:defRPr sz="1000" b="1">
              <a:solidFill>
                <a:schemeClr val="bg1"/>
              </a:solidFill>
            </a:defRPr>
          </a:pPr>
          <a:endParaRPr lang="en-US" sz="1000" b="1" i="0" u="none" strike="noStrike" baseline="0">
            <a:solidFill>
              <a:schemeClr val="bg1"/>
            </a:solidFill>
            <a:latin typeface="Calibri" panose="020F0502020204030204"/>
          </a:endParaRPr>
        </a:p>
      </cx:txPr>
    </cx:legend>
  </cx:chart>
  <cx:spPr>
    <a:solidFill>
      <a:schemeClr val="bg2">
        <a:lumMod val="25000"/>
      </a:schemeClr>
    </a:solidFill>
    <a:ln>
      <a:noFill/>
    </a:ln>
  </cx:spPr>
</cx: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7">
  <a:schemeClr val="accent4"/>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microsoft.com/office/2014/relationships/chartEx" Target="../charts/chartEx2.xml"/><Relationship Id="rId13" Type="http://schemas.openxmlformats.org/officeDocument/2006/relationships/chart" Target="../charts/chart4.xml"/><Relationship Id="rId3" Type="http://schemas.openxmlformats.org/officeDocument/2006/relationships/image" Target="../media/image3.png"/><Relationship Id="rId7" Type="http://schemas.openxmlformats.org/officeDocument/2006/relationships/chart" Target="../charts/chart3.xml"/><Relationship Id="rId12" Type="http://schemas.openxmlformats.org/officeDocument/2006/relationships/image" Target="../media/image8.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image" Target="../media/image7.png"/><Relationship Id="rId5" Type="http://schemas.openxmlformats.org/officeDocument/2006/relationships/chart" Target="../charts/chart1.xml"/><Relationship Id="rId15" Type="http://schemas.openxmlformats.org/officeDocument/2006/relationships/chart" Target="../charts/chart6.xml"/><Relationship Id="rId10" Type="http://schemas.openxmlformats.org/officeDocument/2006/relationships/image" Target="../media/image6.svg"/><Relationship Id="rId4" Type="http://schemas.openxmlformats.org/officeDocument/2006/relationships/image" Target="../media/image4.svg"/><Relationship Id="rId9" Type="http://schemas.openxmlformats.org/officeDocument/2006/relationships/image" Target="../media/image5.png"/><Relationship Id="rId1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0</xdr:colOff>
      <xdr:row>28</xdr:row>
      <xdr:rowOff>0</xdr:rowOff>
    </xdr:from>
    <xdr:to>
      <xdr:col>5</xdr:col>
      <xdr:colOff>1112520</xdr:colOff>
      <xdr:row>39</xdr:row>
      <xdr:rowOff>121920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79612A5F-26BE-412D-AE8F-EBBAEC5C18B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070860" y="5318760"/>
              <a:ext cx="3566160" cy="21336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472440</xdr:colOff>
      <xdr:row>50</xdr:row>
      <xdr:rowOff>119743</xdr:rowOff>
    </xdr:to>
    <xdr:sp macro="" textlink="Dashboard!$B$25">
      <xdr:nvSpPr>
        <xdr:cNvPr id="2" name="Rounded Rectangle 1">
          <a:extLst>
            <a:ext uri="{FF2B5EF4-FFF2-40B4-BE49-F238E27FC236}">
              <a16:creationId xmlns:a16="http://schemas.microsoft.com/office/drawing/2014/main" id="{DFFAA9C1-717C-93A5-84A6-C479CDBAFD3B}"/>
            </a:ext>
            <a:ext uri="{147F2762-F138-4A5C-976F-8EAC2B608ADB}">
              <a16:predDERef xmlns:a16="http://schemas.microsoft.com/office/drawing/2014/main" pred="{DFCE74E4-4297-ECE1-1E5B-2C0E3CC87788}"/>
            </a:ext>
          </a:extLst>
        </xdr:cNvPr>
        <xdr:cNvSpPr/>
      </xdr:nvSpPr>
      <xdr:spPr>
        <a:xfrm>
          <a:off x="0" y="0"/>
          <a:ext cx="14493240" cy="9009743"/>
        </a:xfrm>
        <a:prstGeom prst="roundRect">
          <a:avLst/>
        </a:prstGeom>
        <a:ln w="15875">
          <a:solidFill>
            <a:sysClr val="windowText" lastClr="000000">
              <a:alpha val="99000"/>
            </a:sysClr>
          </a:solidFill>
        </a:ln>
        <a:effectLst>
          <a:glow rad="254000">
            <a:schemeClr val="tx1">
              <a:alpha val="39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marL="0" indent="0" algn="l"/>
          <a:fld id="{5328AEFF-1CD0-4609-9940-31615388434B}" type="TxLink">
            <a:rPr lang="en-US" sz="1100" b="0" i="0" u="none" strike="noStrike">
              <a:ln>
                <a:noFill/>
              </a:ln>
              <a:solidFill>
                <a:srgbClr val="000000"/>
              </a:solidFill>
              <a:latin typeface="Calibri"/>
              <a:ea typeface="Calibri"/>
              <a:cs typeface="Calibri"/>
            </a:rPr>
            <a:t> </a:t>
          </a:fld>
          <a:endParaRPr lang="en-US" sz="2000">
            <a:ln>
              <a:noFill/>
            </a:ln>
            <a:solidFill>
              <a:schemeClr val="lt1"/>
            </a:solidFill>
            <a:latin typeface="+mn-lt"/>
            <a:ea typeface="+mn-lt"/>
            <a:cs typeface="+mn-lt"/>
          </a:endParaRPr>
        </a:p>
      </xdr:txBody>
    </xdr:sp>
    <xdr:clientData/>
  </xdr:twoCellAnchor>
  <xdr:twoCellAnchor>
    <xdr:from>
      <xdr:col>11</xdr:col>
      <xdr:colOff>228600</xdr:colOff>
      <xdr:row>14</xdr:row>
      <xdr:rowOff>83820</xdr:rowOff>
    </xdr:from>
    <xdr:to>
      <xdr:col>16</xdr:col>
      <xdr:colOff>382905</xdr:colOff>
      <xdr:row>29</xdr:row>
      <xdr:rowOff>45720</xdr:rowOff>
    </xdr:to>
    <xdr:sp macro="" textlink="">
      <xdr:nvSpPr>
        <xdr:cNvPr id="15" name="Rounded Rectangle 14">
          <a:extLst>
            <a:ext uri="{FF2B5EF4-FFF2-40B4-BE49-F238E27FC236}">
              <a16:creationId xmlns:a16="http://schemas.microsoft.com/office/drawing/2014/main" id="{508C4F0C-DF8B-46AF-9788-87CD1BE48D10}"/>
            </a:ext>
            <a:ext uri="{147F2762-F138-4A5C-976F-8EAC2B608ADB}">
              <a16:predDERef xmlns:a16="http://schemas.microsoft.com/office/drawing/2014/main" pred="{CCB92CB2-B5A1-44C9-AC9C-6409DCB12BB2}"/>
            </a:ext>
          </a:extLst>
        </xdr:cNvPr>
        <xdr:cNvSpPr/>
      </xdr:nvSpPr>
      <xdr:spPr>
        <a:xfrm>
          <a:off x="6934200" y="2644140"/>
          <a:ext cx="3202305" cy="2705100"/>
        </a:xfrm>
        <a:prstGeom prst="round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p>
      </xdr:txBody>
    </xdr:sp>
    <xdr:clientData/>
  </xdr:twoCellAnchor>
  <xdr:twoCellAnchor>
    <xdr:from>
      <xdr:col>0</xdr:col>
      <xdr:colOff>68580</xdr:colOff>
      <xdr:row>15</xdr:row>
      <xdr:rowOff>30481</xdr:rowOff>
    </xdr:from>
    <xdr:to>
      <xdr:col>5</xdr:col>
      <xdr:colOff>76200</xdr:colOff>
      <xdr:row>29</xdr:row>
      <xdr:rowOff>76201</xdr:rowOff>
    </xdr:to>
    <xdr:sp macro="" textlink="">
      <xdr:nvSpPr>
        <xdr:cNvPr id="16" name="Rounded Rectangle 15">
          <a:extLst>
            <a:ext uri="{FF2B5EF4-FFF2-40B4-BE49-F238E27FC236}">
              <a16:creationId xmlns:a16="http://schemas.microsoft.com/office/drawing/2014/main" id="{DBBEA2D3-42EE-4ABF-81CB-1CF3FE1F8F16}"/>
            </a:ext>
            <a:ext uri="{147F2762-F138-4A5C-976F-8EAC2B608ADB}">
              <a16:predDERef xmlns:a16="http://schemas.microsoft.com/office/drawing/2014/main" pred="{508C4F0C-DF8B-46AF-9788-87CD1BE48D10}"/>
            </a:ext>
          </a:extLst>
        </xdr:cNvPr>
        <xdr:cNvSpPr/>
      </xdr:nvSpPr>
      <xdr:spPr>
        <a:xfrm>
          <a:off x="68580" y="2806338"/>
          <a:ext cx="3055620" cy="2636520"/>
        </a:xfrm>
        <a:prstGeom prst="round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5</xdr:col>
      <xdr:colOff>217538</xdr:colOff>
      <xdr:row>14</xdr:row>
      <xdr:rowOff>136072</xdr:rowOff>
    </xdr:from>
    <xdr:to>
      <xdr:col>11</xdr:col>
      <xdr:colOff>187648</xdr:colOff>
      <xdr:row>29</xdr:row>
      <xdr:rowOff>112442</xdr:rowOff>
    </xdr:to>
    <xdr:sp macro="" textlink="">
      <xdr:nvSpPr>
        <xdr:cNvPr id="17" name="Rounded Rectangle 16">
          <a:extLst>
            <a:ext uri="{FF2B5EF4-FFF2-40B4-BE49-F238E27FC236}">
              <a16:creationId xmlns:a16="http://schemas.microsoft.com/office/drawing/2014/main" id="{F6F37C0C-FBC0-4C76-B211-08BF9001B8E8}"/>
            </a:ext>
            <a:ext uri="{147F2762-F138-4A5C-976F-8EAC2B608ADB}">
              <a16:predDERef xmlns:a16="http://schemas.microsoft.com/office/drawing/2014/main" pred="{DBBEA2D3-42EE-4ABF-81CB-1CF3FE1F8F16}"/>
            </a:ext>
          </a:extLst>
        </xdr:cNvPr>
        <xdr:cNvSpPr/>
      </xdr:nvSpPr>
      <xdr:spPr>
        <a:xfrm rot="5361375">
          <a:off x="3705687" y="2253019"/>
          <a:ext cx="2723966" cy="3618918"/>
        </a:xfrm>
        <a:prstGeom prst="round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16</xdr:col>
      <xdr:colOff>467232</xdr:colOff>
      <xdr:row>14</xdr:row>
      <xdr:rowOff>37630</xdr:rowOff>
    </xdr:from>
    <xdr:to>
      <xdr:col>23</xdr:col>
      <xdr:colOff>58268</xdr:colOff>
      <xdr:row>28</xdr:row>
      <xdr:rowOff>175304</xdr:rowOff>
    </xdr:to>
    <xdr:sp macro="" textlink="">
      <xdr:nvSpPr>
        <xdr:cNvPr id="18" name="Rounded Rectangle 17">
          <a:extLst>
            <a:ext uri="{FF2B5EF4-FFF2-40B4-BE49-F238E27FC236}">
              <a16:creationId xmlns:a16="http://schemas.microsoft.com/office/drawing/2014/main" id="{A8F238BE-7421-4E57-874D-28202D9C8CD5}"/>
            </a:ext>
            <a:ext uri="{147F2762-F138-4A5C-976F-8EAC2B608ADB}">
              <a16:predDERef xmlns:a16="http://schemas.microsoft.com/office/drawing/2014/main" pred="{F6F37C0C-FBC0-4C76-B211-08BF9001B8E8}"/>
            </a:ext>
          </a:extLst>
        </xdr:cNvPr>
        <xdr:cNvSpPr/>
      </xdr:nvSpPr>
      <xdr:spPr>
        <a:xfrm rot="5361375">
          <a:off x="10800953" y="2017829"/>
          <a:ext cx="2697994" cy="3858236"/>
        </a:xfrm>
        <a:prstGeom prst="round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editAs="oneCell">
    <xdr:from>
      <xdr:col>4</xdr:col>
      <xdr:colOff>142604</xdr:colOff>
      <xdr:row>1</xdr:row>
      <xdr:rowOff>52249</xdr:rowOff>
    </xdr:from>
    <xdr:to>
      <xdr:col>5</xdr:col>
      <xdr:colOff>163285</xdr:colOff>
      <xdr:row>4</xdr:row>
      <xdr:rowOff>43541</xdr:rowOff>
    </xdr:to>
    <xdr:pic>
      <xdr:nvPicPr>
        <xdr:cNvPr id="5" name="Graphic 4" descr="Customer review with solid fill">
          <a:extLst>
            <a:ext uri="{FF2B5EF4-FFF2-40B4-BE49-F238E27FC236}">
              <a16:creationId xmlns:a16="http://schemas.microsoft.com/office/drawing/2014/main" id="{310A9500-43B4-E13B-C54C-3587BC6557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81004" y="237306"/>
          <a:ext cx="630281" cy="546464"/>
        </a:xfrm>
        <a:prstGeom prst="rect">
          <a:avLst/>
        </a:prstGeom>
      </xdr:spPr>
    </xdr:pic>
    <xdr:clientData/>
  </xdr:twoCellAnchor>
  <xdr:twoCellAnchor>
    <xdr:from>
      <xdr:col>5</xdr:col>
      <xdr:colOff>402771</xdr:colOff>
      <xdr:row>0</xdr:row>
      <xdr:rowOff>93617</xdr:rowOff>
    </xdr:from>
    <xdr:to>
      <xdr:col>17</xdr:col>
      <xdr:colOff>555171</xdr:colOff>
      <xdr:row>6</xdr:row>
      <xdr:rowOff>47897</xdr:rowOff>
    </xdr:to>
    <xdr:sp macro="" textlink="">
      <xdr:nvSpPr>
        <xdr:cNvPr id="6" name="TextBox 5">
          <a:extLst>
            <a:ext uri="{FF2B5EF4-FFF2-40B4-BE49-F238E27FC236}">
              <a16:creationId xmlns:a16="http://schemas.microsoft.com/office/drawing/2014/main" id="{99C9CA44-36E9-AF19-E02F-D4728F12A8C2}"/>
            </a:ext>
          </a:extLst>
        </xdr:cNvPr>
        <xdr:cNvSpPr txBox="1"/>
      </xdr:nvSpPr>
      <xdr:spPr>
        <a:xfrm>
          <a:off x="3450771" y="93617"/>
          <a:ext cx="7467600" cy="1064623"/>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rgbClr val="FFC000"/>
              </a:solidFill>
              <a:latin typeface="Berlin Sans FB Demi" panose="020E0802020502020306" pitchFamily="34" charset="0"/>
              <a:ea typeface="Cascadia Mono SemiBold" panose="020B0609020000020004" pitchFamily="49" charset="0"/>
              <a:cs typeface="Cascadia Mono SemiBold" panose="020B0609020000020004" pitchFamily="49" charset="0"/>
            </a:rPr>
            <a:t>EMPLOYEE</a:t>
          </a:r>
          <a:r>
            <a:rPr lang="en-IN" sz="2800" b="1" baseline="0">
              <a:solidFill>
                <a:srgbClr val="FFC000"/>
              </a:solidFill>
              <a:latin typeface="Berlin Sans FB Demi" panose="020E0802020502020306" pitchFamily="34" charset="0"/>
              <a:ea typeface="Cascadia Mono SemiBold" panose="020B0609020000020004" pitchFamily="49" charset="0"/>
              <a:cs typeface="Cascadia Mono SemiBold" panose="020B0609020000020004" pitchFamily="49" charset="0"/>
            </a:rPr>
            <a:t> ATTENDANCE DASHBOARD</a:t>
          </a:r>
        </a:p>
        <a:p>
          <a:endParaRPr lang="en-IN" sz="1100">
            <a:solidFill>
              <a:srgbClr val="FFC000"/>
            </a:solidFill>
          </a:endParaRPr>
        </a:p>
      </xdr:txBody>
    </xdr:sp>
    <xdr:clientData/>
  </xdr:twoCellAnchor>
  <xdr:twoCellAnchor editAs="oneCell">
    <xdr:from>
      <xdr:col>5</xdr:col>
      <xdr:colOff>217714</xdr:colOff>
      <xdr:row>0</xdr:row>
      <xdr:rowOff>119743</xdr:rowOff>
    </xdr:from>
    <xdr:to>
      <xdr:col>6</xdr:col>
      <xdr:colOff>228600</xdr:colOff>
      <xdr:row>4</xdr:row>
      <xdr:rowOff>65314</xdr:rowOff>
    </xdr:to>
    <xdr:pic>
      <xdr:nvPicPr>
        <xdr:cNvPr id="10" name="Graphic 9" descr="Schoolhouse with solid fill">
          <a:extLst>
            <a:ext uri="{FF2B5EF4-FFF2-40B4-BE49-F238E27FC236}">
              <a16:creationId xmlns:a16="http://schemas.microsoft.com/office/drawing/2014/main" id="{C289309C-E373-CA91-6F71-2A6D706D588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265714" y="119743"/>
          <a:ext cx="620486" cy="685800"/>
        </a:xfrm>
        <a:prstGeom prst="rect">
          <a:avLst/>
        </a:prstGeom>
      </xdr:spPr>
    </xdr:pic>
    <xdr:clientData/>
  </xdr:twoCellAnchor>
  <xdr:twoCellAnchor editAs="oneCell">
    <xdr:from>
      <xdr:col>10</xdr:col>
      <xdr:colOff>259080</xdr:colOff>
      <xdr:row>7</xdr:row>
      <xdr:rowOff>141515</xdr:rowOff>
    </xdr:from>
    <xdr:to>
      <xdr:col>14</xdr:col>
      <xdr:colOff>601980</xdr:colOff>
      <xdr:row>12</xdr:row>
      <xdr:rowOff>70758</xdr:rowOff>
    </xdr:to>
    <mc:AlternateContent xmlns:mc="http://schemas.openxmlformats.org/markup-compatibility/2006" xmlns:a14="http://schemas.microsoft.com/office/drawing/2010/main">
      <mc:Choice Requires="a14">
        <xdr:graphicFrame macro="">
          <xdr:nvGraphicFramePr>
            <xdr:cNvPr id="11" name="Attendance">
              <a:extLst>
                <a:ext uri="{FF2B5EF4-FFF2-40B4-BE49-F238E27FC236}">
                  <a16:creationId xmlns:a16="http://schemas.microsoft.com/office/drawing/2014/main" id="{C3CFB8F6-5B3F-4887-9822-31101C12CC38}"/>
                </a:ext>
              </a:extLst>
            </xdr:cNvPr>
            <xdr:cNvGraphicFramePr/>
          </xdr:nvGraphicFramePr>
          <xdr:xfrm>
            <a:off x="0" y="0"/>
            <a:ext cx="0" cy="0"/>
          </xdr:xfrm>
          <a:graphic>
            <a:graphicData uri="http://schemas.microsoft.com/office/drawing/2010/slicer">
              <sle:slicer xmlns:sle="http://schemas.microsoft.com/office/drawing/2010/slicer" name="Attendance"/>
            </a:graphicData>
          </a:graphic>
        </xdr:graphicFrame>
      </mc:Choice>
      <mc:Fallback xmlns="">
        <xdr:sp macro="" textlink="">
          <xdr:nvSpPr>
            <xdr:cNvPr id="0" name=""/>
            <xdr:cNvSpPr>
              <a:spLocks noTextEdit="1"/>
            </xdr:cNvSpPr>
          </xdr:nvSpPr>
          <xdr:spPr>
            <a:xfrm>
              <a:off x="6335789" y="1424376"/>
              <a:ext cx="2773583" cy="8455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151311</xdr:colOff>
      <xdr:row>6</xdr:row>
      <xdr:rowOff>55518</xdr:rowOff>
    </xdr:from>
    <xdr:to>
      <xdr:col>23</xdr:col>
      <xdr:colOff>372291</xdr:colOff>
      <xdr:row>12</xdr:row>
      <xdr:rowOff>78378</xdr:rowOff>
    </xdr:to>
    <mc:AlternateContent xmlns:mc="http://schemas.openxmlformats.org/markup-compatibility/2006" xmlns:a14="http://schemas.microsoft.com/office/drawing/2010/main">
      <mc:Choice Requires="a14">
        <xdr:graphicFrame macro="">
          <xdr:nvGraphicFramePr>
            <xdr:cNvPr id="13" name="Department">
              <a:extLst>
                <a:ext uri="{FF2B5EF4-FFF2-40B4-BE49-F238E27FC236}">
                  <a16:creationId xmlns:a16="http://schemas.microsoft.com/office/drawing/2014/main" id="{A8D9225C-C724-474D-87B9-DDD6EC919D1B}"/>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9874045" y="1155113"/>
              <a:ext cx="4474676" cy="11224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202475</xdr:colOff>
      <xdr:row>7</xdr:row>
      <xdr:rowOff>65314</xdr:rowOff>
    </xdr:from>
    <xdr:to>
      <xdr:col>9</xdr:col>
      <xdr:colOff>507275</xdr:colOff>
      <xdr:row>13</xdr:row>
      <xdr:rowOff>88174</xdr:rowOff>
    </xdr:to>
    <mc:AlternateContent xmlns:mc="http://schemas.openxmlformats.org/markup-compatibility/2006" xmlns:a14="http://schemas.microsoft.com/office/drawing/2010/main">
      <mc:Choice Requires="a14">
        <xdr:graphicFrame macro="">
          <xdr:nvGraphicFramePr>
            <xdr:cNvPr id="14" name="Location">
              <a:extLst>
                <a:ext uri="{FF2B5EF4-FFF2-40B4-BE49-F238E27FC236}">
                  <a16:creationId xmlns:a16="http://schemas.microsoft.com/office/drawing/2014/main" id="{C486DADE-4D45-4FD2-B900-55C05FEFCE50}"/>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3240829" y="1348175"/>
              <a:ext cx="2735484" cy="11224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294881</xdr:colOff>
      <xdr:row>7</xdr:row>
      <xdr:rowOff>105564</xdr:rowOff>
    </xdr:from>
    <xdr:to>
      <xdr:col>4</xdr:col>
      <xdr:colOff>349309</xdr:colOff>
      <xdr:row>12</xdr:row>
      <xdr:rowOff>173620</xdr:rowOff>
    </xdr:to>
    <xdr:sp macro="" textlink="Pivot!K18">
      <xdr:nvSpPr>
        <xdr:cNvPr id="19" name="TextBox 18">
          <a:extLst>
            <a:ext uri="{FF2B5EF4-FFF2-40B4-BE49-F238E27FC236}">
              <a16:creationId xmlns:a16="http://schemas.microsoft.com/office/drawing/2014/main" id="{60AE35AD-1253-A122-59BB-45089EB3B39F}"/>
            </a:ext>
          </a:extLst>
        </xdr:cNvPr>
        <xdr:cNvSpPr txBox="1"/>
      </xdr:nvSpPr>
      <xdr:spPr>
        <a:xfrm>
          <a:off x="294881" y="1388425"/>
          <a:ext cx="2485112" cy="984385"/>
        </a:xfrm>
        <a:prstGeom prst="roundRect">
          <a:avLst/>
        </a:prstGeom>
        <a:solidFill>
          <a:srgbClr val="FFC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b="0" i="0" u="none" strike="noStrike">
              <a:solidFill>
                <a:srgbClr val="000000"/>
              </a:solidFill>
              <a:latin typeface="Calibri"/>
              <a:ea typeface="Calibri"/>
              <a:cs typeface="Calibri"/>
            </a:rPr>
            <a:t>           </a:t>
          </a:r>
        </a:p>
        <a:p>
          <a:pPr algn="l"/>
          <a:r>
            <a:rPr lang="en-US" sz="2400" b="0" i="0" u="none" strike="noStrike">
              <a:solidFill>
                <a:srgbClr val="000000"/>
              </a:solidFill>
              <a:latin typeface="Calibri"/>
              <a:ea typeface="Calibri"/>
              <a:cs typeface="Calibri"/>
            </a:rPr>
            <a:t>            </a:t>
          </a:r>
          <a:fld id="{C84C7FD1-9620-46A5-9EC1-05CE24C7EEE3}" type="TxLink">
            <a:rPr lang="en-US" sz="2400" b="0" i="0" u="none" strike="noStrike">
              <a:solidFill>
                <a:srgbClr val="000000"/>
              </a:solidFill>
              <a:latin typeface="Calibri"/>
              <a:ea typeface="Calibri"/>
              <a:cs typeface="Calibri"/>
            </a:rPr>
            <a:t>100</a:t>
          </a:fld>
          <a:endParaRPr lang="en-US" sz="4000" b="1">
            <a:solidFill>
              <a:schemeClr val="tx1"/>
            </a:solidFill>
          </a:endParaRPr>
        </a:p>
      </xdr:txBody>
    </xdr:sp>
    <xdr:clientData/>
  </xdr:twoCellAnchor>
  <xdr:twoCellAnchor>
    <xdr:from>
      <xdr:col>0</xdr:col>
      <xdr:colOff>68262</xdr:colOff>
      <xdr:row>30</xdr:row>
      <xdr:rowOff>160170</xdr:rowOff>
    </xdr:from>
    <xdr:to>
      <xdr:col>6</xdr:col>
      <xdr:colOff>454068</xdr:colOff>
      <xdr:row>46</xdr:row>
      <xdr:rowOff>146</xdr:rowOff>
    </xdr:to>
    <xdr:sp macro="" textlink="">
      <xdr:nvSpPr>
        <xdr:cNvPr id="20" name="Rounded Rectangle 16">
          <a:extLst>
            <a:ext uri="{FF2B5EF4-FFF2-40B4-BE49-F238E27FC236}">
              <a16:creationId xmlns:a16="http://schemas.microsoft.com/office/drawing/2014/main" id="{A6404C15-2142-4E7B-8F9C-ACD0F5950D81}"/>
            </a:ext>
            <a:ext uri="{147F2762-F138-4A5C-976F-8EAC2B608ADB}">
              <a16:predDERef xmlns:a16="http://schemas.microsoft.com/office/drawing/2014/main" pred="{DBBEA2D3-42EE-4ABF-81CB-1CF3FE1F8F16}"/>
            </a:ext>
          </a:extLst>
        </xdr:cNvPr>
        <xdr:cNvSpPr/>
      </xdr:nvSpPr>
      <xdr:spPr>
        <a:xfrm rot="5400000">
          <a:off x="706937" y="5007895"/>
          <a:ext cx="2766056" cy="4043406"/>
        </a:xfrm>
        <a:prstGeom prst="round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15</xdr:col>
      <xdr:colOff>92673</xdr:colOff>
      <xdr:row>29</xdr:row>
      <xdr:rowOff>161921</xdr:rowOff>
    </xdr:from>
    <xdr:to>
      <xdr:col>23</xdr:col>
      <xdr:colOff>275809</xdr:colOff>
      <xdr:row>45</xdr:row>
      <xdr:rowOff>101095</xdr:rowOff>
    </xdr:to>
    <xdr:sp macro="" textlink="">
      <xdr:nvSpPr>
        <xdr:cNvPr id="21" name="Rounded Rectangle 16">
          <a:extLst>
            <a:ext uri="{FF2B5EF4-FFF2-40B4-BE49-F238E27FC236}">
              <a16:creationId xmlns:a16="http://schemas.microsoft.com/office/drawing/2014/main" id="{3C6F6FD2-040C-4575-9EE1-878B1D49CE92}"/>
            </a:ext>
            <a:ext uri="{147F2762-F138-4A5C-976F-8EAC2B608ADB}">
              <a16:predDERef xmlns:a16="http://schemas.microsoft.com/office/drawing/2014/main" pred="{DBBEA2D3-42EE-4ABF-81CB-1CF3FE1F8F16}"/>
            </a:ext>
          </a:extLst>
        </xdr:cNvPr>
        <xdr:cNvSpPr/>
      </xdr:nvSpPr>
      <xdr:spPr>
        <a:xfrm rot="5361375">
          <a:off x="10334014" y="4368100"/>
          <a:ext cx="2865254" cy="5059936"/>
        </a:xfrm>
        <a:prstGeom prst="round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6</xdr:col>
      <xdr:colOff>565072</xdr:colOff>
      <xdr:row>30</xdr:row>
      <xdr:rowOff>63768</xdr:rowOff>
    </xdr:from>
    <xdr:to>
      <xdr:col>14</xdr:col>
      <xdr:colOff>586828</xdr:colOff>
      <xdr:row>45</xdr:row>
      <xdr:rowOff>177687</xdr:rowOff>
    </xdr:to>
    <xdr:sp macro="" textlink="">
      <xdr:nvSpPr>
        <xdr:cNvPr id="22" name="Rounded Rectangle 16">
          <a:extLst>
            <a:ext uri="{FF2B5EF4-FFF2-40B4-BE49-F238E27FC236}">
              <a16:creationId xmlns:a16="http://schemas.microsoft.com/office/drawing/2014/main" id="{4D6E2DB7-DD6F-4330-9EDB-D0F732B0518C}"/>
            </a:ext>
            <a:ext uri="{147F2762-F138-4A5C-976F-8EAC2B608ADB}">
              <a16:predDERef xmlns:a16="http://schemas.microsoft.com/office/drawing/2014/main" pred="{DBBEA2D3-42EE-4ABF-81CB-1CF3FE1F8F16}"/>
            </a:ext>
          </a:extLst>
        </xdr:cNvPr>
        <xdr:cNvSpPr/>
      </xdr:nvSpPr>
      <xdr:spPr>
        <a:xfrm rot="5361375">
          <a:off x="5243390" y="4529450"/>
          <a:ext cx="2857119" cy="4898556"/>
        </a:xfrm>
        <a:prstGeom prst="roundRect">
          <a:avLst/>
        </a:prstGeom>
        <a:solidFill>
          <a:schemeClr val="bg2">
            <a:lumMod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5</xdr:col>
      <xdr:colOff>315686</xdr:colOff>
      <xdr:row>17</xdr:row>
      <xdr:rowOff>21772</xdr:rowOff>
    </xdr:from>
    <xdr:to>
      <xdr:col>11</xdr:col>
      <xdr:colOff>53341</xdr:colOff>
      <xdr:row>28</xdr:row>
      <xdr:rowOff>152400</xdr:rowOff>
    </xdr:to>
    <xdr:graphicFrame macro="">
      <xdr:nvGraphicFramePr>
        <xdr:cNvPr id="23" name="Chart 22">
          <a:extLst>
            <a:ext uri="{FF2B5EF4-FFF2-40B4-BE49-F238E27FC236}">
              <a16:creationId xmlns:a16="http://schemas.microsoft.com/office/drawing/2014/main" id="{34F8F8DE-6600-4C08-94EB-03FA3BC3E4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163286</xdr:colOff>
      <xdr:row>15</xdr:row>
      <xdr:rowOff>129540</xdr:rowOff>
    </xdr:from>
    <xdr:to>
      <xdr:col>10</xdr:col>
      <xdr:colOff>236220</xdr:colOff>
      <xdr:row>17</xdr:row>
      <xdr:rowOff>32658</xdr:rowOff>
    </xdr:to>
    <xdr:sp macro="" textlink="">
      <xdr:nvSpPr>
        <xdr:cNvPr id="24" name="TextBox 23">
          <a:extLst>
            <a:ext uri="{FF2B5EF4-FFF2-40B4-BE49-F238E27FC236}">
              <a16:creationId xmlns:a16="http://schemas.microsoft.com/office/drawing/2014/main" id="{B6A75BA3-280A-46D7-7336-8BB756463724}"/>
            </a:ext>
          </a:extLst>
        </xdr:cNvPr>
        <xdr:cNvSpPr txBox="1"/>
      </xdr:nvSpPr>
      <xdr:spPr>
        <a:xfrm>
          <a:off x="3820886" y="2905397"/>
          <a:ext cx="2511334" cy="273232"/>
        </a:xfrm>
        <a:prstGeom prst="rect">
          <a:avLst/>
        </a:prstGeom>
        <a:solidFill>
          <a:schemeClr val="bg2">
            <a:lumMod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0" u="none" strike="noStrike">
              <a:solidFill>
                <a:schemeClr val="bg1"/>
              </a:solidFill>
              <a:effectLst/>
              <a:latin typeface="+mn-lt"/>
              <a:ea typeface="+mn-ea"/>
              <a:cs typeface="+mn-cs"/>
            </a:rPr>
            <a:t>Attendance Status</a:t>
          </a:r>
          <a:r>
            <a:rPr lang="en-IN" sz="1600">
              <a:solidFill>
                <a:schemeClr val="bg1"/>
              </a:solidFill>
              <a:effectLst/>
            </a:rPr>
            <a:t> </a:t>
          </a:r>
          <a:endParaRPr lang="en-IN" sz="1600">
            <a:solidFill>
              <a:schemeClr val="bg1"/>
            </a:solidFill>
          </a:endParaRPr>
        </a:p>
      </xdr:txBody>
    </xdr:sp>
    <xdr:clientData/>
  </xdr:twoCellAnchor>
  <xdr:twoCellAnchor>
    <xdr:from>
      <xdr:col>17</xdr:col>
      <xdr:colOff>7620</xdr:colOff>
      <xdr:row>16</xdr:row>
      <xdr:rowOff>152400</xdr:rowOff>
    </xdr:from>
    <xdr:to>
      <xdr:col>22</xdr:col>
      <xdr:colOff>525780</xdr:colOff>
      <xdr:row>28</xdr:row>
      <xdr:rowOff>38100</xdr:rowOff>
    </xdr:to>
    <xdr:graphicFrame macro="">
      <xdr:nvGraphicFramePr>
        <xdr:cNvPr id="25" name="Chart 24">
          <a:extLst>
            <a:ext uri="{FF2B5EF4-FFF2-40B4-BE49-F238E27FC236}">
              <a16:creationId xmlns:a16="http://schemas.microsoft.com/office/drawing/2014/main" id="{BF83ADCF-83D7-4316-AFD2-E223C06A8A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175260</xdr:colOff>
      <xdr:row>15</xdr:row>
      <xdr:rowOff>60960</xdr:rowOff>
    </xdr:from>
    <xdr:to>
      <xdr:col>22</xdr:col>
      <xdr:colOff>251460</xdr:colOff>
      <xdr:row>16</xdr:row>
      <xdr:rowOff>121920</xdr:rowOff>
    </xdr:to>
    <xdr:sp macro="" textlink="">
      <xdr:nvSpPr>
        <xdr:cNvPr id="26" name="TextBox 25">
          <a:extLst>
            <a:ext uri="{FF2B5EF4-FFF2-40B4-BE49-F238E27FC236}">
              <a16:creationId xmlns:a16="http://schemas.microsoft.com/office/drawing/2014/main" id="{3C4874F6-47BB-99F6-85F8-60386FA3EF14}"/>
            </a:ext>
          </a:extLst>
        </xdr:cNvPr>
        <xdr:cNvSpPr txBox="1"/>
      </xdr:nvSpPr>
      <xdr:spPr>
        <a:xfrm>
          <a:off x="10538460" y="2804160"/>
          <a:ext cx="3124200" cy="243840"/>
        </a:xfrm>
        <a:prstGeom prst="rect">
          <a:avLst/>
        </a:prstGeom>
        <a:solidFill>
          <a:schemeClr val="bg2">
            <a:lumMod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i="0" u="none" strike="noStrike">
              <a:solidFill>
                <a:schemeClr val="bg1"/>
              </a:solidFill>
              <a:effectLst/>
              <a:latin typeface="+mn-lt"/>
              <a:ea typeface="+mn-ea"/>
              <a:cs typeface="+mn-cs"/>
            </a:rPr>
            <a:t>Average WorkHours per Department</a:t>
          </a:r>
          <a:r>
            <a:rPr lang="en-IN" sz="1400">
              <a:solidFill>
                <a:schemeClr val="bg1"/>
              </a:solidFill>
              <a:effectLst/>
            </a:rPr>
            <a:t> </a:t>
          </a:r>
          <a:endParaRPr lang="en-IN" sz="1400">
            <a:solidFill>
              <a:schemeClr val="bg1"/>
            </a:solidFill>
          </a:endParaRPr>
        </a:p>
      </xdr:txBody>
    </xdr:sp>
    <xdr:clientData/>
  </xdr:twoCellAnchor>
  <xdr:twoCellAnchor>
    <xdr:from>
      <xdr:col>0</xdr:col>
      <xdr:colOff>228600</xdr:colOff>
      <xdr:row>33</xdr:row>
      <xdr:rowOff>91440</xdr:rowOff>
    </xdr:from>
    <xdr:to>
      <xdr:col>6</xdr:col>
      <xdr:colOff>251460</xdr:colOff>
      <xdr:row>45</xdr:row>
      <xdr:rowOff>22860</xdr:rowOff>
    </xdr:to>
    <xdr:graphicFrame macro="">
      <xdr:nvGraphicFramePr>
        <xdr:cNvPr id="27" name="Chart 26">
          <a:extLst>
            <a:ext uri="{FF2B5EF4-FFF2-40B4-BE49-F238E27FC236}">
              <a16:creationId xmlns:a16="http://schemas.microsoft.com/office/drawing/2014/main" id="{136B4F61-9C65-4C01-8909-F27909D348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525780</xdr:colOff>
      <xdr:row>31</xdr:row>
      <xdr:rowOff>76200</xdr:rowOff>
    </xdr:from>
    <xdr:to>
      <xdr:col>5</xdr:col>
      <xdr:colOff>381000</xdr:colOff>
      <xdr:row>32</xdr:row>
      <xdr:rowOff>144780</xdr:rowOff>
    </xdr:to>
    <xdr:sp macro="" textlink="">
      <xdr:nvSpPr>
        <xdr:cNvPr id="28" name="TextBox 27">
          <a:extLst>
            <a:ext uri="{FF2B5EF4-FFF2-40B4-BE49-F238E27FC236}">
              <a16:creationId xmlns:a16="http://schemas.microsoft.com/office/drawing/2014/main" id="{D9862082-1B2D-B137-960C-7BAB9A973181}"/>
            </a:ext>
          </a:extLst>
        </xdr:cNvPr>
        <xdr:cNvSpPr txBox="1"/>
      </xdr:nvSpPr>
      <xdr:spPr>
        <a:xfrm>
          <a:off x="525780" y="5745480"/>
          <a:ext cx="2903220" cy="251460"/>
        </a:xfrm>
        <a:prstGeom prst="rect">
          <a:avLst/>
        </a:prstGeom>
        <a:solidFill>
          <a:schemeClr val="bg2">
            <a:lumMod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i="0" u="none" strike="noStrike">
              <a:solidFill>
                <a:schemeClr val="bg1"/>
              </a:solidFill>
              <a:effectLst/>
              <a:latin typeface="+mn-lt"/>
              <a:ea typeface="+mn-ea"/>
              <a:cs typeface="+mn-cs"/>
            </a:rPr>
            <a:t>Late Comers Analysis</a:t>
          </a:r>
          <a:r>
            <a:rPr lang="en-IN" sz="1400">
              <a:solidFill>
                <a:schemeClr val="bg1"/>
              </a:solidFill>
              <a:effectLst/>
            </a:rPr>
            <a:t> </a:t>
          </a:r>
          <a:endParaRPr lang="en-IN" sz="1400">
            <a:solidFill>
              <a:schemeClr val="bg1"/>
            </a:solidFill>
          </a:endParaRPr>
        </a:p>
      </xdr:txBody>
    </xdr:sp>
    <xdr:clientData/>
  </xdr:twoCellAnchor>
  <xdr:twoCellAnchor>
    <xdr:from>
      <xdr:col>7</xdr:col>
      <xdr:colOff>91440</xdr:colOff>
      <xdr:row>32</xdr:row>
      <xdr:rowOff>106680</xdr:rowOff>
    </xdr:from>
    <xdr:to>
      <xdr:col>14</xdr:col>
      <xdr:colOff>373380</xdr:colOff>
      <xdr:row>44</xdr:row>
      <xdr:rowOff>106680</xdr:rowOff>
    </xdr:to>
    <mc:AlternateContent xmlns:mc="http://schemas.openxmlformats.org/markup-compatibility/2006">
      <mc:Choice xmlns:cx1="http://schemas.microsoft.com/office/drawing/2015/9/8/chartex" Requires="cx1">
        <xdr:graphicFrame macro="">
          <xdr:nvGraphicFramePr>
            <xdr:cNvPr id="31" name="Chart 30">
              <a:extLst>
                <a:ext uri="{FF2B5EF4-FFF2-40B4-BE49-F238E27FC236}">
                  <a16:creationId xmlns:a16="http://schemas.microsoft.com/office/drawing/2014/main" id="{5AF89C8B-1284-40D2-AEFC-76594EAE8A7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4358640" y="5958840"/>
              <a:ext cx="4549140" cy="21945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434340</xdr:colOff>
      <xdr:row>30</xdr:row>
      <xdr:rowOff>106680</xdr:rowOff>
    </xdr:from>
    <xdr:to>
      <xdr:col>13</xdr:col>
      <xdr:colOff>0</xdr:colOff>
      <xdr:row>32</xdr:row>
      <xdr:rowOff>7620</xdr:rowOff>
    </xdr:to>
    <xdr:sp macro="" textlink="">
      <xdr:nvSpPr>
        <xdr:cNvPr id="32" name="TextBox 31">
          <a:extLst>
            <a:ext uri="{FF2B5EF4-FFF2-40B4-BE49-F238E27FC236}">
              <a16:creationId xmlns:a16="http://schemas.microsoft.com/office/drawing/2014/main" id="{895B14E7-E72D-AA88-D86A-DC0F36FA2205}"/>
            </a:ext>
          </a:extLst>
        </xdr:cNvPr>
        <xdr:cNvSpPr txBox="1"/>
      </xdr:nvSpPr>
      <xdr:spPr>
        <a:xfrm>
          <a:off x="5311140" y="5593080"/>
          <a:ext cx="2613660" cy="266700"/>
        </a:xfrm>
        <a:prstGeom prst="rect">
          <a:avLst/>
        </a:prstGeom>
        <a:solidFill>
          <a:schemeClr val="bg2">
            <a:lumMod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i="0" u="none" strike="noStrike">
              <a:solidFill>
                <a:schemeClr val="bg1">
                  <a:lumMod val="95000"/>
                </a:schemeClr>
              </a:solidFill>
              <a:effectLst/>
              <a:latin typeface="+mn-lt"/>
              <a:ea typeface="+mn-ea"/>
              <a:cs typeface="+mn-cs"/>
            </a:rPr>
            <a:t>Count of Overtime Hours</a:t>
          </a:r>
          <a:r>
            <a:rPr lang="en-IN" sz="1400">
              <a:solidFill>
                <a:schemeClr val="bg1">
                  <a:lumMod val="95000"/>
                </a:schemeClr>
              </a:solidFill>
              <a:effectLst/>
            </a:rPr>
            <a:t> </a:t>
          </a:r>
          <a:endParaRPr lang="en-IN" sz="1400">
            <a:solidFill>
              <a:schemeClr val="bg1">
                <a:lumMod val="95000"/>
              </a:schemeClr>
            </a:solidFill>
          </a:endParaRPr>
        </a:p>
      </xdr:txBody>
    </xdr:sp>
    <xdr:clientData/>
  </xdr:twoCellAnchor>
  <xdr:twoCellAnchor editAs="oneCell">
    <xdr:from>
      <xdr:col>20</xdr:col>
      <xdr:colOff>288470</xdr:colOff>
      <xdr:row>1</xdr:row>
      <xdr:rowOff>43544</xdr:rowOff>
    </xdr:from>
    <xdr:to>
      <xdr:col>21</xdr:col>
      <xdr:colOff>440870</xdr:colOff>
      <xdr:row>4</xdr:row>
      <xdr:rowOff>163286</xdr:rowOff>
    </xdr:to>
    <xdr:pic macro="[0]!ToggleFullScreenDashboard">
      <xdr:nvPicPr>
        <xdr:cNvPr id="34" name="Graphic 33" descr="Research with solid fill">
          <a:extLst>
            <a:ext uri="{FF2B5EF4-FFF2-40B4-BE49-F238E27FC236}">
              <a16:creationId xmlns:a16="http://schemas.microsoft.com/office/drawing/2014/main" id="{86A57BDA-1AAC-0E14-9400-64B63808281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480470" y="221344"/>
          <a:ext cx="762000" cy="653142"/>
        </a:xfrm>
        <a:prstGeom prst="rect">
          <a:avLst/>
        </a:prstGeom>
      </xdr:spPr>
    </xdr:pic>
    <xdr:clientData/>
  </xdr:twoCellAnchor>
  <xdr:twoCellAnchor editAs="oneCell">
    <xdr:from>
      <xdr:col>18</xdr:col>
      <xdr:colOff>489858</xdr:colOff>
      <xdr:row>0</xdr:row>
      <xdr:rowOff>108858</xdr:rowOff>
    </xdr:from>
    <xdr:to>
      <xdr:col>20</xdr:col>
      <xdr:colOff>119744</xdr:colOff>
      <xdr:row>5</xdr:row>
      <xdr:rowOff>54428</xdr:rowOff>
    </xdr:to>
    <xdr:pic macro="[0]!RefreshAll">
      <xdr:nvPicPr>
        <xdr:cNvPr id="36" name="Graphic 35" descr="Arrow circle with solid fill">
          <a:extLst>
            <a:ext uri="{FF2B5EF4-FFF2-40B4-BE49-F238E27FC236}">
              <a16:creationId xmlns:a16="http://schemas.microsoft.com/office/drawing/2014/main" id="{B5D1D39E-2BFA-60B4-97CB-6F78F9FEC80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462658" y="108858"/>
          <a:ext cx="849086" cy="870856"/>
        </a:xfrm>
        <a:prstGeom prst="rect">
          <a:avLst/>
        </a:prstGeom>
      </xdr:spPr>
    </xdr:pic>
    <xdr:clientData/>
  </xdr:twoCellAnchor>
  <xdr:twoCellAnchor>
    <xdr:from>
      <xdr:col>15</xdr:col>
      <xdr:colOff>283030</xdr:colOff>
      <xdr:row>31</xdr:row>
      <xdr:rowOff>128454</xdr:rowOff>
    </xdr:from>
    <xdr:to>
      <xdr:col>23</xdr:col>
      <xdr:colOff>108858</xdr:colOff>
      <xdr:row>44</xdr:row>
      <xdr:rowOff>141515</xdr:rowOff>
    </xdr:to>
    <xdr:graphicFrame macro="">
      <xdr:nvGraphicFramePr>
        <xdr:cNvPr id="37" name="Chart 36">
          <a:extLst>
            <a:ext uri="{FF2B5EF4-FFF2-40B4-BE49-F238E27FC236}">
              <a16:creationId xmlns:a16="http://schemas.microsoft.com/office/drawing/2014/main" id="{EBE86EDD-7CC3-4B87-8CDE-645391CAF0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97971</xdr:colOff>
      <xdr:row>31</xdr:row>
      <xdr:rowOff>119743</xdr:rowOff>
    </xdr:from>
    <xdr:to>
      <xdr:col>22</xdr:col>
      <xdr:colOff>228600</xdr:colOff>
      <xdr:row>33</xdr:row>
      <xdr:rowOff>43543</xdr:rowOff>
    </xdr:to>
    <xdr:sp macro="" textlink="">
      <xdr:nvSpPr>
        <xdr:cNvPr id="38" name="TextBox 37">
          <a:extLst>
            <a:ext uri="{FF2B5EF4-FFF2-40B4-BE49-F238E27FC236}">
              <a16:creationId xmlns:a16="http://schemas.microsoft.com/office/drawing/2014/main" id="{34DFE594-0194-8555-B14A-A5B69B5AD2DA}"/>
            </a:ext>
          </a:extLst>
        </xdr:cNvPr>
        <xdr:cNvSpPr txBox="1"/>
      </xdr:nvSpPr>
      <xdr:spPr>
        <a:xfrm>
          <a:off x="9851571" y="5856514"/>
          <a:ext cx="3788229" cy="293915"/>
        </a:xfrm>
        <a:prstGeom prst="rect">
          <a:avLst/>
        </a:prstGeom>
        <a:solidFill>
          <a:schemeClr val="bg2">
            <a:lumMod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b="1" i="0" u="none" strike="noStrike">
              <a:solidFill>
                <a:schemeClr val="bg1">
                  <a:lumMod val="95000"/>
                </a:schemeClr>
              </a:solidFill>
              <a:effectLst/>
              <a:latin typeface="+mn-lt"/>
              <a:ea typeface="+mn-ea"/>
              <a:cs typeface="+mn-cs"/>
            </a:rPr>
            <a:t>Login Punctuality </a:t>
          </a:r>
          <a:r>
            <a:rPr lang="en-IN" sz="1800">
              <a:solidFill>
                <a:schemeClr val="bg1">
                  <a:lumMod val="95000"/>
                </a:schemeClr>
              </a:solidFill>
              <a:effectLst/>
            </a:rPr>
            <a:t> </a:t>
          </a:r>
          <a:endParaRPr lang="en-IN" sz="1800">
            <a:solidFill>
              <a:schemeClr val="bg1">
                <a:lumMod val="95000"/>
              </a:schemeClr>
            </a:solidFill>
          </a:endParaRPr>
        </a:p>
      </xdr:txBody>
    </xdr:sp>
    <xdr:clientData/>
  </xdr:twoCellAnchor>
  <xdr:twoCellAnchor>
    <xdr:from>
      <xdr:col>11</xdr:col>
      <xdr:colOff>403860</xdr:colOff>
      <xdr:row>17</xdr:row>
      <xdr:rowOff>114300</xdr:rowOff>
    </xdr:from>
    <xdr:to>
      <xdr:col>16</xdr:col>
      <xdr:colOff>236220</xdr:colOff>
      <xdr:row>28</xdr:row>
      <xdr:rowOff>60960</xdr:rowOff>
    </xdr:to>
    <xdr:graphicFrame macro="">
      <xdr:nvGraphicFramePr>
        <xdr:cNvPr id="39" name="Chart 38">
          <a:extLst>
            <a:ext uri="{FF2B5EF4-FFF2-40B4-BE49-F238E27FC236}">
              <a16:creationId xmlns:a16="http://schemas.microsoft.com/office/drawing/2014/main" id="{FC51AB7D-75FC-4E8D-BAC2-B1E03D037E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129540</xdr:colOff>
      <xdr:row>14</xdr:row>
      <xdr:rowOff>160020</xdr:rowOff>
    </xdr:from>
    <xdr:to>
      <xdr:col>15</xdr:col>
      <xdr:colOff>510540</xdr:colOff>
      <xdr:row>17</xdr:row>
      <xdr:rowOff>30480</xdr:rowOff>
    </xdr:to>
    <xdr:sp macro="" textlink="">
      <xdr:nvSpPr>
        <xdr:cNvPr id="41" name="TextBox 40">
          <a:extLst>
            <a:ext uri="{FF2B5EF4-FFF2-40B4-BE49-F238E27FC236}">
              <a16:creationId xmlns:a16="http://schemas.microsoft.com/office/drawing/2014/main" id="{5A56C7FC-E2E6-A84E-C71E-6CF3FBE5DE1E}"/>
            </a:ext>
          </a:extLst>
        </xdr:cNvPr>
        <xdr:cNvSpPr txBox="1"/>
      </xdr:nvSpPr>
      <xdr:spPr>
        <a:xfrm>
          <a:off x="7444740" y="2720340"/>
          <a:ext cx="2209800" cy="419100"/>
        </a:xfrm>
        <a:prstGeom prst="rect">
          <a:avLst/>
        </a:prstGeom>
        <a:solidFill>
          <a:schemeClr val="bg2">
            <a:lumMod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i="0" u="none" strike="noStrike">
              <a:solidFill>
                <a:schemeClr val="bg1"/>
              </a:solidFill>
              <a:effectLst/>
              <a:latin typeface="+mn-lt"/>
              <a:ea typeface="+mn-ea"/>
              <a:cs typeface="+mn-cs"/>
            </a:rPr>
            <a:t>Location Wise Analysis</a:t>
          </a:r>
          <a:endParaRPr lang="en-IN" sz="1400">
            <a:solidFill>
              <a:schemeClr val="bg1"/>
            </a:solidFill>
          </a:endParaRPr>
        </a:p>
      </xdr:txBody>
    </xdr:sp>
    <xdr:clientData/>
  </xdr:twoCellAnchor>
  <xdr:twoCellAnchor>
    <xdr:from>
      <xdr:col>0</xdr:col>
      <xdr:colOff>228600</xdr:colOff>
      <xdr:row>17</xdr:row>
      <xdr:rowOff>114300</xdr:rowOff>
    </xdr:from>
    <xdr:to>
      <xdr:col>4</xdr:col>
      <xdr:colOff>533400</xdr:colOff>
      <xdr:row>28</xdr:row>
      <xdr:rowOff>175260</xdr:rowOff>
    </xdr:to>
    <xdr:graphicFrame macro="">
      <xdr:nvGraphicFramePr>
        <xdr:cNvPr id="42" name="Chart 41">
          <a:extLst>
            <a:ext uri="{FF2B5EF4-FFF2-40B4-BE49-F238E27FC236}">
              <a16:creationId xmlns:a16="http://schemas.microsoft.com/office/drawing/2014/main" id="{7DDCADA4-B82C-4087-9EDD-C908E36B5C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213360</xdr:colOff>
      <xdr:row>15</xdr:row>
      <xdr:rowOff>137160</xdr:rowOff>
    </xdr:from>
    <xdr:to>
      <xdr:col>4</xdr:col>
      <xdr:colOff>487680</xdr:colOff>
      <xdr:row>17</xdr:row>
      <xdr:rowOff>167640</xdr:rowOff>
    </xdr:to>
    <xdr:sp macro="" textlink="">
      <xdr:nvSpPr>
        <xdr:cNvPr id="43" name="TextBox 42">
          <a:extLst>
            <a:ext uri="{FF2B5EF4-FFF2-40B4-BE49-F238E27FC236}">
              <a16:creationId xmlns:a16="http://schemas.microsoft.com/office/drawing/2014/main" id="{2915A8D7-824A-FD1B-02DD-DABF3086CA4D}"/>
            </a:ext>
          </a:extLst>
        </xdr:cNvPr>
        <xdr:cNvSpPr txBox="1"/>
      </xdr:nvSpPr>
      <xdr:spPr>
        <a:xfrm>
          <a:off x="213360" y="2880360"/>
          <a:ext cx="2712720" cy="396240"/>
        </a:xfrm>
        <a:prstGeom prst="rect">
          <a:avLst/>
        </a:prstGeom>
        <a:solidFill>
          <a:schemeClr val="bg2">
            <a:lumMod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i="0" u="none" strike="noStrike">
              <a:solidFill>
                <a:schemeClr val="bg1"/>
              </a:solidFill>
              <a:effectLst/>
              <a:latin typeface="+mn-lt"/>
              <a:ea typeface="+mn-ea"/>
              <a:cs typeface="+mn-cs"/>
            </a:rPr>
            <a:t>Department Wise Attendance</a:t>
          </a:r>
          <a:r>
            <a:rPr lang="en-IN" sz="1400" b="1">
              <a:solidFill>
                <a:schemeClr val="bg1"/>
              </a:solidFill>
              <a:effectLst/>
            </a:rPr>
            <a:t> </a:t>
          </a:r>
          <a:endParaRPr lang="en-IN" sz="1400" b="1">
            <a:solidFill>
              <a:schemeClr val="bg1"/>
            </a:solidFill>
          </a:endParaRPr>
        </a:p>
      </xdr:txBody>
    </xdr:sp>
    <xdr:clientData/>
  </xdr:twoCellAnchor>
  <xdr:twoCellAnchor>
    <xdr:from>
      <xdr:col>12</xdr:col>
      <xdr:colOff>67509</xdr:colOff>
      <xdr:row>11</xdr:row>
      <xdr:rowOff>163975</xdr:rowOff>
    </xdr:from>
    <xdr:to>
      <xdr:col>14</xdr:col>
      <xdr:colOff>231491</xdr:colOff>
      <xdr:row>13</xdr:row>
      <xdr:rowOff>125393</xdr:rowOff>
    </xdr:to>
    <xdr:sp macro="" textlink="">
      <xdr:nvSpPr>
        <xdr:cNvPr id="3" name="TextBox 2">
          <a:extLst>
            <a:ext uri="{FF2B5EF4-FFF2-40B4-BE49-F238E27FC236}">
              <a16:creationId xmlns:a16="http://schemas.microsoft.com/office/drawing/2014/main" id="{00F62D8D-0689-996F-4149-C03E69CEB096}"/>
            </a:ext>
          </a:extLst>
        </xdr:cNvPr>
        <xdr:cNvSpPr txBox="1"/>
      </xdr:nvSpPr>
      <xdr:spPr>
        <a:xfrm flipH="1">
          <a:off x="7359560" y="2179899"/>
          <a:ext cx="1379323" cy="327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No of Employees</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ika Bhudhiraju" refreshedDate="45913.608862499997" createdVersion="8" refreshedVersion="8" minRefreshableVersion="3" recordCount="100" xr:uid="{F485C98E-35FF-492B-8F41-0C284ED9553B}">
  <cacheSource type="worksheet">
    <worksheetSource name="Table1"/>
  </cacheSource>
  <cacheFields count="14">
    <cacheField name="EmployeeID" numFmtId="0">
      <sharedItems/>
    </cacheField>
    <cacheField name="Name" numFmtId="0">
      <sharedItems count="5">
        <s v="Alice Johnson"/>
        <s v="Bob Smith"/>
        <s v="Charlie Lee"/>
        <s v="Diana Evans"/>
        <s v="Ethan Brown"/>
      </sharedItems>
    </cacheField>
    <cacheField name="Department" numFmtId="0">
      <sharedItems count="5">
        <s v="Sales"/>
        <s v="Operations"/>
        <s v="Finance"/>
        <s v="IT"/>
        <s v="HR"/>
      </sharedItems>
    </cacheField>
    <cacheField name="Date" numFmtId="14">
      <sharedItems containsSemiMixedTypes="0" containsNonDate="0" containsDate="1" containsString="0" minDate="2025-08-01T00:00:00" maxDate="2025-08-30T00:00:00"/>
    </cacheField>
    <cacheField name="CheckIn" numFmtId="0">
      <sharedItems containsNonDate="0" containsDate="1" containsString="0" containsBlank="1" minDate="1899-12-30T08:45:00" maxDate="1899-12-30T09:30:00" count="38">
        <d v="1899-12-30T09:24:00"/>
        <d v="1899-12-30T09:30:00"/>
        <d v="1899-12-30T09:07:00"/>
        <d v="1899-12-30T08:50:00"/>
        <d v="1899-12-30T09:18:00"/>
        <d v="1899-12-30T08:55:00"/>
        <m/>
        <d v="1899-12-30T09:11:00"/>
        <d v="1899-12-30T08:56:00"/>
        <d v="1899-12-30T09:02:00"/>
        <d v="1899-12-30T09:10:00"/>
        <d v="1899-12-30T09:26:00"/>
        <d v="1899-12-30T09:19:00"/>
        <d v="1899-12-30T09:05:00"/>
        <d v="1899-12-30T09:13:00"/>
        <d v="1899-12-30T08:46:00"/>
        <d v="1899-12-30T08:47:00"/>
        <d v="1899-12-30T09:01:00"/>
        <d v="1899-12-30T08:48:00"/>
        <d v="1899-12-30T09:23:00"/>
        <d v="1899-12-30T09:08:00"/>
        <d v="1899-12-30T09:03:00"/>
        <d v="1899-12-30T09:20:00"/>
        <d v="1899-12-30T09:27:00"/>
        <d v="1899-12-30T09:09:00"/>
        <d v="1899-12-30T08:52:00"/>
        <d v="1899-12-30T09:12:00"/>
        <d v="1899-12-30T08:51:00"/>
        <d v="1899-12-30T09:25:00"/>
        <d v="1899-12-30T09:14:00"/>
        <d v="1899-12-30T09:06:00"/>
        <d v="1899-12-30T09:00:00"/>
        <d v="1899-12-30T09:28:00"/>
        <d v="1899-12-30T09:21:00"/>
        <d v="1899-12-30T09:17:00"/>
        <d v="1899-12-30T08:53:00"/>
        <d v="1899-12-30T08:45:00"/>
        <d v="1899-12-30T09:16:00"/>
      </sharedItems>
      <fieldGroup par="13"/>
    </cacheField>
    <cacheField name="CheckOut" numFmtId="0">
      <sharedItems containsNonDate="0" containsDate="1" containsString="0" containsBlank="1" minDate="1899-12-30T15:57:00" maxDate="1899-12-30T19:21:00"/>
    </cacheField>
    <cacheField name="WorkHours" numFmtId="1">
      <sharedItems containsSemiMixedTypes="0" containsString="0" containsNumber="1" minValue="0" maxValue="9.92"/>
    </cacheField>
    <cacheField name="LateMinutes" numFmtId="0">
      <sharedItems containsSemiMixedTypes="0" containsString="0" containsNumber="1" containsInteger="1" minValue="0" maxValue="30"/>
    </cacheField>
    <cacheField name="AttendanceStatus" numFmtId="0">
      <sharedItems count="2">
        <s v="Present"/>
        <s v="Absent"/>
      </sharedItems>
    </cacheField>
    <cacheField name="Location" numFmtId="0">
      <sharedItems count="3">
        <s v="Hyderabad"/>
        <s v="Bangalore"/>
        <s v="Remote"/>
      </sharedItems>
    </cacheField>
    <cacheField name="Overtime Hours" numFmtId="1">
      <sharedItems containsSemiMixedTypes="0" containsString="0" containsNumber="1" minValue="0" maxValue="1.92"/>
    </cacheField>
    <cacheField name="On Time Flag" numFmtId="0">
      <sharedItems count="2">
        <s v="Late"/>
        <s v="OnTime"/>
      </sharedItems>
    </cacheField>
    <cacheField name="Minutes (CheckIn)" numFmtId="0" databaseField="0">
      <fieldGroup base="4">
        <rangePr groupBy="minutes" startDate="1899-12-30T08:45:00" endDate="1899-12-30T09:30:00"/>
        <groupItems count="62">
          <s v="&lt;0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Hours (CheckIn)" numFmtId="0" databaseField="0">
      <fieldGroup base="4">
        <rangePr groupBy="hours" startDate="1899-12-30T08:45:00" endDate="1899-12-30T09:30:00"/>
        <groupItems count="26">
          <s v="&lt;00-01-1900"/>
          <s v="00"/>
          <s v="01"/>
          <s v="02"/>
          <s v="03"/>
          <s v="04"/>
          <s v="05"/>
          <s v="06"/>
          <s v="07"/>
          <s v="08"/>
          <s v="09"/>
          <s v="10"/>
          <s v="11"/>
          <s v="12"/>
          <s v="13"/>
          <s v="14"/>
          <s v="15"/>
          <s v="16"/>
          <s v="17"/>
          <s v="18"/>
          <s v="19"/>
          <s v="20"/>
          <s v="21"/>
          <s v="22"/>
          <s v="23"/>
          <s v="&gt;00-01-1900"/>
        </groupItems>
      </fieldGroup>
    </cacheField>
  </cacheFields>
  <extLst>
    <ext xmlns:x14="http://schemas.microsoft.com/office/spreadsheetml/2009/9/main" uri="{725AE2AE-9491-48be-B2B4-4EB974FC3084}">
      <x14:pivotCacheDefinition pivotCacheId="2308252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MP1001"/>
    <x v="0"/>
    <x v="0"/>
    <d v="2025-08-01T00:00:00"/>
    <x v="0"/>
    <d v="1899-12-30T18:10:00"/>
    <n v="8.77"/>
    <n v="24"/>
    <x v="0"/>
    <x v="0"/>
    <n v="0.76999999999999957"/>
    <x v="0"/>
  </r>
  <r>
    <s v="EMP1001"/>
    <x v="0"/>
    <x v="0"/>
    <d v="2025-08-04T00:00:00"/>
    <x v="1"/>
    <d v="1899-12-30T16:49:00"/>
    <n v="7.32"/>
    <n v="30"/>
    <x v="0"/>
    <x v="1"/>
    <n v="0"/>
    <x v="0"/>
  </r>
  <r>
    <s v="EMP1001"/>
    <x v="0"/>
    <x v="0"/>
    <d v="2025-08-05T00:00:00"/>
    <x v="2"/>
    <d v="1899-12-30T16:24:00"/>
    <n v="7.28"/>
    <n v="7"/>
    <x v="0"/>
    <x v="1"/>
    <n v="0"/>
    <x v="0"/>
  </r>
  <r>
    <s v="EMP1001"/>
    <x v="0"/>
    <x v="0"/>
    <d v="2025-08-06T00:00:00"/>
    <x v="3"/>
    <d v="1899-12-30T16:07:00"/>
    <n v="7.28"/>
    <n v="0"/>
    <x v="0"/>
    <x v="1"/>
    <n v="0"/>
    <x v="1"/>
  </r>
  <r>
    <s v="EMP1001"/>
    <x v="0"/>
    <x v="0"/>
    <d v="2025-08-07T00:00:00"/>
    <x v="0"/>
    <d v="1899-12-30T17:10:00"/>
    <n v="7.77"/>
    <n v="24"/>
    <x v="0"/>
    <x v="1"/>
    <n v="0"/>
    <x v="0"/>
  </r>
  <r>
    <s v="EMP1001"/>
    <x v="0"/>
    <x v="0"/>
    <d v="2025-08-08T00:00:00"/>
    <x v="4"/>
    <d v="1899-12-30T16:58:00"/>
    <n v="7.67"/>
    <n v="18"/>
    <x v="0"/>
    <x v="0"/>
    <n v="0"/>
    <x v="0"/>
  </r>
  <r>
    <s v="EMP1001"/>
    <x v="0"/>
    <x v="0"/>
    <d v="2025-08-11T00:00:00"/>
    <x v="1"/>
    <d v="1899-12-30T18:12:00"/>
    <n v="8.6999999999999993"/>
    <n v="30"/>
    <x v="0"/>
    <x v="0"/>
    <n v="0.69999999999999929"/>
    <x v="0"/>
  </r>
  <r>
    <s v="EMP1001"/>
    <x v="0"/>
    <x v="0"/>
    <d v="2025-08-12T00:00:00"/>
    <x v="5"/>
    <d v="1899-12-30T16:21:00"/>
    <n v="7.43"/>
    <n v="0"/>
    <x v="0"/>
    <x v="2"/>
    <n v="0"/>
    <x v="1"/>
  </r>
  <r>
    <s v="EMP1001"/>
    <x v="0"/>
    <x v="0"/>
    <d v="2025-08-13T00:00:00"/>
    <x v="6"/>
    <m/>
    <n v="0"/>
    <n v="0"/>
    <x v="1"/>
    <x v="2"/>
    <n v="0"/>
    <x v="1"/>
  </r>
  <r>
    <s v="EMP1001"/>
    <x v="0"/>
    <x v="0"/>
    <d v="2025-08-14T00:00:00"/>
    <x v="3"/>
    <d v="1899-12-30T15:57:00"/>
    <n v="7.12"/>
    <n v="0"/>
    <x v="0"/>
    <x v="1"/>
    <n v="0"/>
    <x v="1"/>
  </r>
  <r>
    <s v="EMP1001"/>
    <x v="0"/>
    <x v="0"/>
    <d v="2025-08-15T00:00:00"/>
    <x v="1"/>
    <d v="1899-12-30T17:46:00"/>
    <n v="8.27"/>
    <n v="30"/>
    <x v="0"/>
    <x v="1"/>
    <n v="0.26999999999999957"/>
    <x v="0"/>
  </r>
  <r>
    <s v="EMP1001"/>
    <x v="0"/>
    <x v="0"/>
    <d v="2025-08-18T00:00:00"/>
    <x v="7"/>
    <d v="1899-12-30T18:20:00"/>
    <n v="9.15"/>
    <n v="11"/>
    <x v="0"/>
    <x v="0"/>
    <n v="1.1500000000000004"/>
    <x v="0"/>
  </r>
  <r>
    <s v="EMP1001"/>
    <x v="0"/>
    <x v="0"/>
    <d v="2025-08-19T00:00:00"/>
    <x v="8"/>
    <d v="1899-12-30T17:49:00"/>
    <n v="8.8800000000000008"/>
    <n v="0"/>
    <x v="0"/>
    <x v="1"/>
    <n v="0.88000000000000078"/>
    <x v="1"/>
  </r>
  <r>
    <s v="EMP1001"/>
    <x v="0"/>
    <x v="0"/>
    <d v="2025-08-20T00:00:00"/>
    <x v="6"/>
    <m/>
    <n v="0"/>
    <n v="0"/>
    <x v="1"/>
    <x v="1"/>
    <n v="0"/>
    <x v="1"/>
  </r>
  <r>
    <s v="EMP1001"/>
    <x v="0"/>
    <x v="0"/>
    <d v="2025-08-22T00:00:00"/>
    <x v="9"/>
    <d v="1899-12-30T17:31:00"/>
    <n v="8.48"/>
    <n v="2"/>
    <x v="0"/>
    <x v="2"/>
    <n v="0.48000000000000043"/>
    <x v="0"/>
  </r>
  <r>
    <s v="EMP1001"/>
    <x v="0"/>
    <x v="0"/>
    <d v="2025-08-25T00:00:00"/>
    <x v="10"/>
    <d v="1899-12-30T16:32:00"/>
    <n v="7.37"/>
    <n v="10"/>
    <x v="0"/>
    <x v="2"/>
    <n v="0"/>
    <x v="0"/>
  </r>
  <r>
    <s v="EMP1001"/>
    <x v="0"/>
    <x v="0"/>
    <d v="2025-08-26T00:00:00"/>
    <x v="11"/>
    <d v="1899-12-30T18:18:00"/>
    <n v="8.8699999999999992"/>
    <n v="26"/>
    <x v="0"/>
    <x v="1"/>
    <n v="0.86999999999999922"/>
    <x v="0"/>
  </r>
  <r>
    <s v="EMP1001"/>
    <x v="0"/>
    <x v="0"/>
    <d v="2025-08-27T00:00:00"/>
    <x v="12"/>
    <d v="1899-12-30T16:46:00"/>
    <n v="7.45"/>
    <n v="19"/>
    <x v="0"/>
    <x v="1"/>
    <n v="0"/>
    <x v="0"/>
  </r>
  <r>
    <s v="EMP1001"/>
    <x v="0"/>
    <x v="0"/>
    <d v="2025-08-28T00:00:00"/>
    <x v="13"/>
    <d v="1899-12-30T18:50:00"/>
    <n v="9.75"/>
    <n v="5"/>
    <x v="0"/>
    <x v="2"/>
    <n v="1.75"/>
    <x v="0"/>
  </r>
  <r>
    <s v="EMP1001"/>
    <x v="0"/>
    <x v="0"/>
    <d v="2025-08-29T00:00:00"/>
    <x v="13"/>
    <d v="1899-12-30T16:47:00"/>
    <n v="7.7"/>
    <n v="5"/>
    <x v="0"/>
    <x v="1"/>
    <n v="0"/>
    <x v="0"/>
  </r>
  <r>
    <s v="EMP1002"/>
    <x v="1"/>
    <x v="1"/>
    <d v="2025-08-01T00:00:00"/>
    <x v="14"/>
    <d v="1899-12-30T17:56:00"/>
    <n v="8.7200000000000006"/>
    <n v="13"/>
    <x v="0"/>
    <x v="1"/>
    <n v="0.72000000000000064"/>
    <x v="0"/>
  </r>
  <r>
    <s v="EMP1002"/>
    <x v="1"/>
    <x v="1"/>
    <d v="2025-08-04T00:00:00"/>
    <x v="15"/>
    <d v="1899-12-30T16:07:00"/>
    <n v="7.35"/>
    <n v="0"/>
    <x v="0"/>
    <x v="0"/>
    <n v="0"/>
    <x v="1"/>
  </r>
  <r>
    <s v="EMP1002"/>
    <x v="1"/>
    <x v="1"/>
    <d v="2025-08-05T00:00:00"/>
    <x v="12"/>
    <d v="1899-12-30T16:50:00"/>
    <n v="7.52"/>
    <n v="19"/>
    <x v="0"/>
    <x v="1"/>
    <n v="0"/>
    <x v="0"/>
  </r>
  <r>
    <s v="EMP1002"/>
    <x v="1"/>
    <x v="1"/>
    <d v="2025-08-06T00:00:00"/>
    <x v="16"/>
    <d v="1899-12-30T17:26:00"/>
    <n v="8.65"/>
    <n v="0"/>
    <x v="0"/>
    <x v="0"/>
    <n v="0.65000000000000036"/>
    <x v="1"/>
  </r>
  <r>
    <s v="EMP1002"/>
    <x v="1"/>
    <x v="1"/>
    <d v="2025-08-07T00:00:00"/>
    <x v="6"/>
    <m/>
    <n v="0"/>
    <n v="0"/>
    <x v="1"/>
    <x v="0"/>
    <n v="0"/>
    <x v="1"/>
  </r>
  <r>
    <s v="EMP1002"/>
    <x v="1"/>
    <x v="1"/>
    <d v="2025-08-08T00:00:00"/>
    <x v="17"/>
    <d v="1899-12-30T17:02:00"/>
    <n v="8.02"/>
    <n v="1"/>
    <x v="0"/>
    <x v="0"/>
    <n v="1.9999999999999574E-2"/>
    <x v="0"/>
  </r>
  <r>
    <s v="EMP1002"/>
    <x v="1"/>
    <x v="1"/>
    <d v="2025-08-11T00:00:00"/>
    <x v="11"/>
    <d v="1899-12-30T19:00:00"/>
    <n v="9.57"/>
    <n v="26"/>
    <x v="0"/>
    <x v="1"/>
    <n v="1.5700000000000003"/>
    <x v="0"/>
  </r>
  <r>
    <s v="EMP1002"/>
    <x v="1"/>
    <x v="1"/>
    <d v="2025-08-12T00:00:00"/>
    <x v="10"/>
    <d v="1899-12-30T16:45:00"/>
    <n v="7.58"/>
    <n v="10"/>
    <x v="0"/>
    <x v="0"/>
    <n v="0"/>
    <x v="0"/>
  </r>
  <r>
    <s v="EMP1002"/>
    <x v="1"/>
    <x v="1"/>
    <d v="2025-08-13T00:00:00"/>
    <x v="18"/>
    <d v="1899-12-30T17:21:00"/>
    <n v="8.5500000000000007"/>
    <n v="0"/>
    <x v="0"/>
    <x v="2"/>
    <n v="0.55000000000000071"/>
    <x v="1"/>
  </r>
  <r>
    <s v="EMP1002"/>
    <x v="1"/>
    <x v="1"/>
    <d v="2025-08-14T00:00:00"/>
    <x v="19"/>
    <d v="1899-12-30T18:07:00"/>
    <n v="8.73"/>
    <n v="23"/>
    <x v="0"/>
    <x v="2"/>
    <n v="0.73000000000000043"/>
    <x v="0"/>
  </r>
  <r>
    <s v="EMP1002"/>
    <x v="1"/>
    <x v="1"/>
    <d v="2025-08-15T00:00:00"/>
    <x v="11"/>
    <d v="1899-12-30T19:21:00"/>
    <n v="9.92"/>
    <n v="26"/>
    <x v="0"/>
    <x v="1"/>
    <n v="1.92"/>
    <x v="0"/>
  </r>
  <r>
    <s v="EMP1002"/>
    <x v="1"/>
    <x v="1"/>
    <d v="2025-08-18T00:00:00"/>
    <x v="20"/>
    <d v="1899-12-30T18:30:00"/>
    <n v="9.3699999999999992"/>
    <n v="8"/>
    <x v="0"/>
    <x v="1"/>
    <n v="1.3699999999999992"/>
    <x v="0"/>
  </r>
  <r>
    <s v="EMP1002"/>
    <x v="1"/>
    <x v="1"/>
    <d v="2025-08-19T00:00:00"/>
    <x v="21"/>
    <d v="1899-12-30T17:22:00"/>
    <n v="8.32"/>
    <n v="3"/>
    <x v="0"/>
    <x v="1"/>
    <n v="0.32000000000000028"/>
    <x v="0"/>
  </r>
  <r>
    <s v="EMP1002"/>
    <x v="1"/>
    <x v="1"/>
    <d v="2025-08-20T00:00:00"/>
    <x v="22"/>
    <d v="1899-12-30T16:58:00"/>
    <n v="7.63"/>
    <n v="20"/>
    <x v="0"/>
    <x v="2"/>
    <n v="0"/>
    <x v="0"/>
  </r>
  <r>
    <s v="EMP1002"/>
    <x v="1"/>
    <x v="1"/>
    <d v="2025-08-21T00:00:00"/>
    <x v="5"/>
    <d v="1899-12-30T17:48:00"/>
    <n v="8.8800000000000008"/>
    <n v="0"/>
    <x v="0"/>
    <x v="1"/>
    <n v="0.88000000000000078"/>
    <x v="1"/>
  </r>
  <r>
    <s v="EMP1002"/>
    <x v="1"/>
    <x v="1"/>
    <d v="2025-08-22T00:00:00"/>
    <x v="6"/>
    <m/>
    <n v="0"/>
    <n v="0"/>
    <x v="1"/>
    <x v="2"/>
    <n v="0"/>
    <x v="1"/>
  </r>
  <r>
    <s v="EMP1002"/>
    <x v="1"/>
    <x v="1"/>
    <d v="2025-08-25T00:00:00"/>
    <x v="23"/>
    <d v="1899-12-30T16:47:00"/>
    <n v="7.33"/>
    <n v="27"/>
    <x v="0"/>
    <x v="0"/>
    <n v="0"/>
    <x v="0"/>
  </r>
  <r>
    <s v="EMP1002"/>
    <x v="1"/>
    <x v="1"/>
    <d v="2025-08-26T00:00:00"/>
    <x v="14"/>
    <d v="1899-12-30T17:17:00"/>
    <n v="8.07"/>
    <n v="13"/>
    <x v="0"/>
    <x v="1"/>
    <n v="7.0000000000000284E-2"/>
    <x v="0"/>
  </r>
  <r>
    <s v="EMP1002"/>
    <x v="1"/>
    <x v="1"/>
    <d v="2025-08-27T00:00:00"/>
    <x v="24"/>
    <d v="1899-12-30T17:23:00"/>
    <n v="8.23"/>
    <n v="9"/>
    <x v="0"/>
    <x v="2"/>
    <n v="0.23000000000000043"/>
    <x v="0"/>
  </r>
  <r>
    <s v="EMP1002"/>
    <x v="1"/>
    <x v="1"/>
    <d v="2025-08-28T00:00:00"/>
    <x v="5"/>
    <d v="1899-12-30T17:14:00"/>
    <n v="8.32"/>
    <n v="0"/>
    <x v="0"/>
    <x v="0"/>
    <n v="0.32000000000000028"/>
    <x v="1"/>
  </r>
  <r>
    <s v="EMP1002"/>
    <x v="1"/>
    <x v="1"/>
    <d v="2025-08-29T00:00:00"/>
    <x v="4"/>
    <d v="1899-12-30T17:28:00"/>
    <n v="8.17"/>
    <n v="18"/>
    <x v="0"/>
    <x v="0"/>
    <n v="0.16999999999999993"/>
    <x v="0"/>
  </r>
  <r>
    <s v="EMP1003"/>
    <x v="2"/>
    <x v="2"/>
    <d v="2025-08-01T00:00:00"/>
    <x v="25"/>
    <d v="1899-12-30T18:27:00"/>
    <n v="9.58"/>
    <n v="0"/>
    <x v="0"/>
    <x v="0"/>
    <n v="1.58"/>
    <x v="1"/>
  </r>
  <r>
    <s v="EMP1003"/>
    <x v="2"/>
    <x v="2"/>
    <d v="2025-08-04T00:00:00"/>
    <x v="4"/>
    <d v="1899-12-30T18:21:00"/>
    <n v="9.0500000000000007"/>
    <n v="18"/>
    <x v="0"/>
    <x v="0"/>
    <n v="1.0500000000000007"/>
    <x v="0"/>
  </r>
  <r>
    <s v="EMP1003"/>
    <x v="2"/>
    <x v="2"/>
    <d v="2025-08-05T00:00:00"/>
    <x v="26"/>
    <d v="1899-12-30T19:00:00"/>
    <n v="9.8000000000000007"/>
    <n v="12"/>
    <x v="0"/>
    <x v="1"/>
    <n v="1.8000000000000007"/>
    <x v="0"/>
  </r>
  <r>
    <s v="EMP1003"/>
    <x v="2"/>
    <x v="2"/>
    <d v="2025-08-06T00:00:00"/>
    <x v="27"/>
    <d v="1899-12-30T17:13:00"/>
    <n v="8.3699999999999992"/>
    <n v="0"/>
    <x v="0"/>
    <x v="1"/>
    <n v="0.36999999999999922"/>
    <x v="1"/>
  </r>
  <r>
    <s v="EMP1003"/>
    <x v="2"/>
    <x v="2"/>
    <d v="2025-08-07T00:00:00"/>
    <x v="28"/>
    <d v="1899-12-30T18:29:00"/>
    <n v="9.07"/>
    <n v="25"/>
    <x v="0"/>
    <x v="1"/>
    <n v="1.0700000000000003"/>
    <x v="0"/>
  </r>
  <r>
    <s v="EMP1003"/>
    <x v="2"/>
    <x v="2"/>
    <d v="2025-08-08T00:00:00"/>
    <x v="29"/>
    <d v="1899-12-30T18:35:00"/>
    <n v="9.35"/>
    <n v="14"/>
    <x v="0"/>
    <x v="2"/>
    <n v="1.3499999999999996"/>
    <x v="0"/>
  </r>
  <r>
    <s v="EMP1003"/>
    <x v="2"/>
    <x v="2"/>
    <d v="2025-08-11T00:00:00"/>
    <x v="30"/>
    <d v="1899-12-30T16:57:00"/>
    <n v="7.85"/>
    <n v="6"/>
    <x v="0"/>
    <x v="1"/>
    <n v="0"/>
    <x v="0"/>
  </r>
  <r>
    <s v="EMP1003"/>
    <x v="2"/>
    <x v="2"/>
    <d v="2025-08-12T00:00:00"/>
    <x v="5"/>
    <d v="1899-12-30T17:21:00"/>
    <n v="8.43"/>
    <n v="0"/>
    <x v="0"/>
    <x v="0"/>
    <n v="0.42999999999999972"/>
    <x v="1"/>
  </r>
  <r>
    <s v="EMP1003"/>
    <x v="2"/>
    <x v="2"/>
    <d v="2025-08-13T00:00:00"/>
    <x v="3"/>
    <d v="1899-12-30T16:31:00"/>
    <n v="7.68"/>
    <n v="0"/>
    <x v="0"/>
    <x v="2"/>
    <n v="0"/>
    <x v="1"/>
  </r>
  <r>
    <s v="EMP1003"/>
    <x v="2"/>
    <x v="2"/>
    <d v="2025-08-15T00:00:00"/>
    <x v="26"/>
    <d v="1899-12-30T17:01:00"/>
    <n v="7.82"/>
    <n v="12"/>
    <x v="0"/>
    <x v="0"/>
    <n v="0"/>
    <x v="0"/>
  </r>
  <r>
    <s v="EMP1003"/>
    <x v="2"/>
    <x v="2"/>
    <d v="2025-08-18T00:00:00"/>
    <x v="7"/>
    <d v="1899-12-30T18:46:00"/>
    <n v="9.58"/>
    <n v="11"/>
    <x v="0"/>
    <x v="0"/>
    <n v="1.58"/>
    <x v="0"/>
  </r>
  <r>
    <s v="EMP1003"/>
    <x v="2"/>
    <x v="2"/>
    <d v="2025-08-19T00:00:00"/>
    <x v="30"/>
    <d v="1899-12-30T17:35:00"/>
    <n v="8.48"/>
    <n v="6"/>
    <x v="0"/>
    <x v="2"/>
    <n v="0.48000000000000043"/>
    <x v="0"/>
  </r>
  <r>
    <s v="EMP1003"/>
    <x v="2"/>
    <x v="2"/>
    <d v="2025-08-20T00:00:00"/>
    <x v="6"/>
    <m/>
    <n v="0"/>
    <n v="0"/>
    <x v="1"/>
    <x v="2"/>
    <n v="0"/>
    <x v="1"/>
  </r>
  <r>
    <s v="EMP1003"/>
    <x v="2"/>
    <x v="2"/>
    <d v="2025-08-21T00:00:00"/>
    <x v="9"/>
    <d v="1899-12-30T16:25:00"/>
    <n v="7.38"/>
    <n v="2"/>
    <x v="0"/>
    <x v="0"/>
    <n v="0"/>
    <x v="0"/>
  </r>
  <r>
    <s v="EMP1003"/>
    <x v="2"/>
    <x v="2"/>
    <d v="2025-08-22T00:00:00"/>
    <x v="31"/>
    <d v="1899-12-30T17:36:00"/>
    <n v="8.6"/>
    <n v="0"/>
    <x v="0"/>
    <x v="0"/>
    <n v="0.59999999999999964"/>
    <x v="1"/>
  </r>
  <r>
    <s v="EMP1003"/>
    <x v="2"/>
    <x v="2"/>
    <d v="2025-08-25T00:00:00"/>
    <x v="32"/>
    <d v="1899-12-30T18:53:00"/>
    <n v="9.42"/>
    <n v="28"/>
    <x v="0"/>
    <x v="2"/>
    <n v="1.42"/>
    <x v="0"/>
  </r>
  <r>
    <s v="EMP1003"/>
    <x v="2"/>
    <x v="2"/>
    <d v="2025-08-26T00:00:00"/>
    <x v="6"/>
    <m/>
    <n v="0"/>
    <n v="0"/>
    <x v="1"/>
    <x v="0"/>
    <n v="0"/>
    <x v="1"/>
  </r>
  <r>
    <s v="EMP1003"/>
    <x v="2"/>
    <x v="2"/>
    <d v="2025-08-27T00:00:00"/>
    <x v="24"/>
    <d v="1899-12-30T16:55:00"/>
    <n v="7.77"/>
    <n v="9"/>
    <x v="0"/>
    <x v="1"/>
    <n v="0"/>
    <x v="0"/>
  </r>
  <r>
    <s v="EMP1003"/>
    <x v="2"/>
    <x v="2"/>
    <d v="2025-08-28T00:00:00"/>
    <x v="33"/>
    <d v="1899-12-30T17:07:00"/>
    <n v="7.77"/>
    <n v="21"/>
    <x v="0"/>
    <x v="0"/>
    <n v="0"/>
    <x v="0"/>
  </r>
  <r>
    <s v="EMP1003"/>
    <x v="2"/>
    <x v="2"/>
    <d v="2025-08-29T00:00:00"/>
    <x v="0"/>
    <d v="1899-12-30T18:22:00"/>
    <n v="8.9700000000000006"/>
    <n v="24"/>
    <x v="0"/>
    <x v="0"/>
    <n v="0.97000000000000064"/>
    <x v="0"/>
  </r>
  <r>
    <s v="EMP1004"/>
    <x v="3"/>
    <x v="3"/>
    <d v="2025-08-01T00:00:00"/>
    <x v="33"/>
    <d v="1899-12-30T18:31:00"/>
    <n v="9.17"/>
    <n v="21"/>
    <x v="0"/>
    <x v="0"/>
    <n v="1.17"/>
    <x v="0"/>
  </r>
  <r>
    <s v="EMP1004"/>
    <x v="3"/>
    <x v="3"/>
    <d v="2025-08-04T00:00:00"/>
    <x v="20"/>
    <d v="1899-12-30T16:47:00"/>
    <n v="7.65"/>
    <n v="8"/>
    <x v="0"/>
    <x v="0"/>
    <n v="0"/>
    <x v="0"/>
  </r>
  <r>
    <s v="EMP1004"/>
    <x v="3"/>
    <x v="3"/>
    <d v="2025-08-05T00:00:00"/>
    <x v="19"/>
    <d v="1899-12-30T17:05:00"/>
    <n v="7.7"/>
    <n v="23"/>
    <x v="0"/>
    <x v="1"/>
    <n v="0"/>
    <x v="0"/>
  </r>
  <r>
    <s v="EMP1004"/>
    <x v="3"/>
    <x v="3"/>
    <d v="2025-08-06T00:00:00"/>
    <x v="19"/>
    <d v="1899-12-30T18:43:00"/>
    <n v="9.33"/>
    <n v="23"/>
    <x v="0"/>
    <x v="2"/>
    <n v="1.33"/>
    <x v="0"/>
  </r>
  <r>
    <s v="EMP1004"/>
    <x v="3"/>
    <x v="3"/>
    <d v="2025-08-07T00:00:00"/>
    <x v="11"/>
    <d v="1899-12-30T18:21:00"/>
    <n v="8.92"/>
    <n v="26"/>
    <x v="0"/>
    <x v="2"/>
    <n v="0.91999999999999993"/>
    <x v="0"/>
  </r>
  <r>
    <s v="EMP1004"/>
    <x v="3"/>
    <x v="3"/>
    <d v="2025-08-08T00:00:00"/>
    <x v="18"/>
    <d v="1899-12-30T18:15:00"/>
    <n v="9.4499999999999993"/>
    <n v="0"/>
    <x v="0"/>
    <x v="1"/>
    <n v="1.4499999999999993"/>
    <x v="1"/>
  </r>
  <r>
    <s v="EMP1004"/>
    <x v="3"/>
    <x v="3"/>
    <d v="2025-08-11T00:00:00"/>
    <x v="3"/>
    <d v="1899-12-30T17:57:00"/>
    <n v="9.1199999999999992"/>
    <n v="0"/>
    <x v="0"/>
    <x v="1"/>
    <n v="1.1199999999999992"/>
    <x v="1"/>
  </r>
  <r>
    <s v="EMP1004"/>
    <x v="3"/>
    <x v="3"/>
    <d v="2025-08-12T00:00:00"/>
    <x v="6"/>
    <m/>
    <n v="0"/>
    <n v="0"/>
    <x v="1"/>
    <x v="1"/>
    <n v="0"/>
    <x v="1"/>
  </r>
  <r>
    <s v="EMP1004"/>
    <x v="3"/>
    <x v="3"/>
    <d v="2025-08-14T00:00:00"/>
    <x v="18"/>
    <d v="1899-12-30T17:55:00"/>
    <n v="9.1199999999999992"/>
    <n v="0"/>
    <x v="0"/>
    <x v="1"/>
    <n v="1.1199999999999992"/>
    <x v="1"/>
  </r>
  <r>
    <s v="EMP1004"/>
    <x v="3"/>
    <x v="3"/>
    <d v="2025-08-15T00:00:00"/>
    <x v="21"/>
    <d v="1899-12-30T16:15:00"/>
    <n v="7.2"/>
    <n v="3"/>
    <x v="0"/>
    <x v="0"/>
    <n v="0"/>
    <x v="0"/>
  </r>
  <r>
    <s v="EMP1004"/>
    <x v="3"/>
    <x v="3"/>
    <d v="2025-08-18T00:00:00"/>
    <x v="6"/>
    <m/>
    <n v="0"/>
    <n v="0"/>
    <x v="1"/>
    <x v="2"/>
    <n v="0"/>
    <x v="1"/>
  </r>
  <r>
    <s v="EMP1004"/>
    <x v="3"/>
    <x v="3"/>
    <d v="2025-08-19T00:00:00"/>
    <x v="4"/>
    <d v="1899-12-30T16:18:00"/>
    <n v="7"/>
    <n v="18"/>
    <x v="0"/>
    <x v="1"/>
    <n v="0"/>
    <x v="0"/>
  </r>
  <r>
    <s v="EMP1004"/>
    <x v="3"/>
    <x v="3"/>
    <d v="2025-08-20T00:00:00"/>
    <x v="10"/>
    <d v="1899-12-30T18:57:00"/>
    <n v="9.7799999999999994"/>
    <n v="10"/>
    <x v="0"/>
    <x v="2"/>
    <n v="1.7799999999999994"/>
    <x v="0"/>
  </r>
  <r>
    <s v="EMP1004"/>
    <x v="3"/>
    <x v="3"/>
    <d v="2025-08-21T00:00:00"/>
    <x v="32"/>
    <d v="1899-12-30T17:58:00"/>
    <n v="8.5"/>
    <n v="28"/>
    <x v="0"/>
    <x v="2"/>
    <n v="0.5"/>
    <x v="0"/>
  </r>
  <r>
    <s v="EMP1004"/>
    <x v="3"/>
    <x v="3"/>
    <d v="2025-08-22T00:00:00"/>
    <x v="28"/>
    <d v="1899-12-30T18:46:00"/>
    <n v="9.35"/>
    <n v="25"/>
    <x v="0"/>
    <x v="1"/>
    <n v="1.3499999999999996"/>
    <x v="0"/>
  </r>
  <r>
    <s v="EMP1004"/>
    <x v="3"/>
    <x v="3"/>
    <d v="2025-08-25T00:00:00"/>
    <x v="26"/>
    <d v="1899-12-30T17:06:00"/>
    <n v="7.9"/>
    <n v="12"/>
    <x v="0"/>
    <x v="2"/>
    <n v="0"/>
    <x v="0"/>
  </r>
  <r>
    <s v="EMP1004"/>
    <x v="3"/>
    <x v="3"/>
    <d v="2025-08-26T00:00:00"/>
    <x v="6"/>
    <m/>
    <n v="0"/>
    <n v="0"/>
    <x v="1"/>
    <x v="1"/>
    <n v="0"/>
    <x v="1"/>
  </r>
  <r>
    <s v="EMP1004"/>
    <x v="3"/>
    <x v="3"/>
    <d v="2025-08-27T00:00:00"/>
    <x v="11"/>
    <d v="1899-12-30T18:01:00"/>
    <n v="8.58"/>
    <n v="26"/>
    <x v="0"/>
    <x v="0"/>
    <n v="0.58000000000000007"/>
    <x v="0"/>
  </r>
  <r>
    <s v="EMP1004"/>
    <x v="3"/>
    <x v="3"/>
    <d v="2025-08-28T00:00:00"/>
    <x v="6"/>
    <m/>
    <n v="0"/>
    <n v="0"/>
    <x v="1"/>
    <x v="1"/>
    <n v="0"/>
    <x v="1"/>
  </r>
  <r>
    <s v="EMP1004"/>
    <x v="3"/>
    <x v="3"/>
    <d v="2025-08-29T00:00:00"/>
    <x v="6"/>
    <m/>
    <n v="0"/>
    <n v="0"/>
    <x v="1"/>
    <x v="2"/>
    <n v="0"/>
    <x v="1"/>
  </r>
  <r>
    <s v="EMP1005"/>
    <x v="4"/>
    <x v="4"/>
    <d v="2025-08-01T00:00:00"/>
    <x v="34"/>
    <d v="1899-12-30T17:23:00"/>
    <n v="8.1"/>
    <n v="17"/>
    <x v="0"/>
    <x v="2"/>
    <n v="9.9999999999999645E-2"/>
    <x v="0"/>
  </r>
  <r>
    <s v="EMP1005"/>
    <x v="4"/>
    <x v="4"/>
    <d v="2025-08-04T00:00:00"/>
    <x v="35"/>
    <d v="1899-12-30T16:29:00"/>
    <n v="7.6"/>
    <n v="0"/>
    <x v="0"/>
    <x v="2"/>
    <n v="0"/>
    <x v="1"/>
  </r>
  <r>
    <s v="EMP1005"/>
    <x v="4"/>
    <x v="4"/>
    <d v="2025-08-05T00:00:00"/>
    <x v="36"/>
    <d v="1899-12-30T16:46:00"/>
    <n v="8.02"/>
    <n v="0"/>
    <x v="0"/>
    <x v="2"/>
    <n v="1.9999999999999574E-2"/>
    <x v="1"/>
  </r>
  <r>
    <s v="EMP1005"/>
    <x v="4"/>
    <x v="4"/>
    <d v="2025-08-06T00:00:00"/>
    <x v="29"/>
    <d v="1899-12-30T16:16:00"/>
    <n v="7.03"/>
    <n v="14"/>
    <x v="0"/>
    <x v="0"/>
    <n v="0"/>
    <x v="0"/>
  </r>
  <r>
    <s v="EMP1005"/>
    <x v="4"/>
    <x v="4"/>
    <d v="2025-08-07T00:00:00"/>
    <x v="20"/>
    <d v="1899-12-30T17:33:00"/>
    <n v="8.42"/>
    <n v="8"/>
    <x v="0"/>
    <x v="2"/>
    <n v="0.41999999999999993"/>
    <x v="0"/>
  </r>
  <r>
    <s v="EMP1005"/>
    <x v="4"/>
    <x v="4"/>
    <d v="2025-08-08T00:00:00"/>
    <x v="3"/>
    <d v="1899-12-30T17:38:00"/>
    <n v="8.8000000000000007"/>
    <n v="0"/>
    <x v="0"/>
    <x v="2"/>
    <n v="0.80000000000000071"/>
    <x v="1"/>
  </r>
  <r>
    <s v="EMP1005"/>
    <x v="4"/>
    <x v="4"/>
    <d v="2025-08-11T00:00:00"/>
    <x v="24"/>
    <d v="1899-12-30T17:26:00"/>
    <n v="8.2799999999999994"/>
    <n v="9"/>
    <x v="0"/>
    <x v="0"/>
    <n v="0.27999999999999936"/>
    <x v="0"/>
  </r>
  <r>
    <s v="EMP1005"/>
    <x v="4"/>
    <x v="4"/>
    <d v="2025-08-12T00:00:00"/>
    <x v="21"/>
    <d v="1899-12-30T18:07:00"/>
    <n v="9.07"/>
    <n v="3"/>
    <x v="0"/>
    <x v="1"/>
    <n v="1.0700000000000003"/>
    <x v="0"/>
  </r>
  <r>
    <s v="EMP1005"/>
    <x v="4"/>
    <x v="4"/>
    <d v="2025-08-14T00:00:00"/>
    <x v="3"/>
    <d v="1899-12-30T18:31:00"/>
    <n v="9.68"/>
    <n v="0"/>
    <x v="0"/>
    <x v="0"/>
    <n v="1.6799999999999997"/>
    <x v="1"/>
  </r>
  <r>
    <s v="EMP1005"/>
    <x v="4"/>
    <x v="4"/>
    <d v="2025-08-15T00:00:00"/>
    <x v="29"/>
    <d v="1899-12-30T16:35:00"/>
    <n v="7.35"/>
    <n v="14"/>
    <x v="0"/>
    <x v="0"/>
    <n v="0"/>
    <x v="0"/>
  </r>
  <r>
    <s v="EMP1005"/>
    <x v="4"/>
    <x v="4"/>
    <d v="2025-08-18T00:00:00"/>
    <x v="6"/>
    <m/>
    <n v="0"/>
    <n v="0"/>
    <x v="1"/>
    <x v="0"/>
    <n v="0"/>
    <x v="1"/>
  </r>
  <r>
    <s v="EMP1005"/>
    <x v="4"/>
    <x v="4"/>
    <d v="2025-08-19T00:00:00"/>
    <x v="26"/>
    <d v="1899-12-30T16:30:00"/>
    <n v="7.3"/>
    <n v="12"/>
    <x v="0"/>
    <x v="2"/>
    <n v="0"/>
    <x v="0"/>
  </r>
  <r>
    <s v="EMP1005"/>
    <x v="4"/>
    <x v="4"/>
    <d v="2025-08-20T00:00:00"/>
    <x v="18"/>
    <d v="1899-12-30T16:03:00"/>
    <n v="7.25"/>
    <n v="0"/>
    <x v="0"/>
    <x v="2"/>
    <n v="0"/>
    <x v="1"/>
  </r>
  <r>
    <s v="EMP1005"/>
    <x v="4"/>
    <x v="4"/>
    <d v="2025-08-21T00:00:00"/>
    <x v="2"/>
    <d v="1899-12-30T16:08:00"/>
    <n v="7.02"/>
    <n v="7"/>
    <x v="0"/>
    <x v="1"/>
    <n v="0"/>
    <x v="0"/>
  </r>
  <r>
    <s v="EMP1005"/>
    <x v="4"/>
    <x v="4"/>
    <d v="2025-08-22T00:00:00"/>
    <x v="37"/>
    <d v="1899-12-30T18:21:00"/>
    <n v="9.08"/>
    <n v="16"/>
    <x v="0"/>
    <x v="1"/>
    <n v="1.08"/>
    <x v="0"/>
  </r>
  <r>
    <s v="EMP1005"/>
    <x v="4"/>
    <x v="4"/>
    <d v="2025-08-25T00:00:00"/>
    <x v="31"/>
    <d v="1899-12-30T16:52:00"/>
    <n v="7.87"/>
    <n v="0"/>
    <x v="0"/>
    <x v="1"/>
    <n v="0"/>
    <x v="1"/>
  </r>
  <r>
    <s v="EMP1005"/>
    <x v="4"/>
    <x v="4"/>
    <d v="2025-08-26T00:00:00"/>
    <x v="25"/>
    <d v="1899-12-30T17:35:00"/>
    <n v="8.7200000000000006"/>
    <n v="0"/>
    <x v="0"/>
    <x v="1"/>
    <n v="0.72000000000000064"/>
    <x v="1"/>
  </r>
  <r>
    <s v="EMP1005"/>
    <x v="4"/>
    <x v="4"/>
    <d v="2025-08-28T00:00:00"/>
    <x v="11"/>
    <d v="1899-12-30T17:22:00"/>
    <n v="7.93"/>
    <n v="26"/>
    <x v="0"/>
    <x v="0"/>
    <n v="0"/>
    <x v="0"/>
  </r>
  <r>
    <s v="EMP1005"/>
    <x v="4"/>
    <x v="4"/>
    <d v="2025-08-29T00:00:00"/>
    <x v="7"/>
    <d v="1899-12-30T18:03:00"/>
    <n v="8.8699999999999992"/>
    <n v="11"/>
    <x v="0"/>
    <x v="1"/>
    <n v="0.8699999999999992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0E77E27-FD81-4AB2-8AD1-8B474376EA4A}" name="PivotTable8" cacheId="37"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7">
  <location ref="A12:C19" firstHeaderRow="1" firstDataRow="2" firstDataCol="1"/>
  <pivotFields count="14">
    <pivotField dataField="1" compact="0" outline="0" showAll="0"/>
    <pivotField compact="0" outline="0" showAll="0"/>
    <pivotField axis="axisRow" compact="0" outline="0" showAll="0">
      <items count="6">
        <item x="2"/>
        <item x="4"/>
        <item x="3"/>
        <item x="1"/>
        <item x="0"/>
        <item t="default"/>
      </items>
    </pivotField>
    <pivotField compact="0" numFmtId="14" outline="0" showAll="0"/>
    <pivotField compact="0" outline="0" showAll="0">
      <items count="39">
        <item x="36"/>
        <item x="15"/>
        <item x="16"/>
        <item x="18"/>
        <item x="3"/>
        <item x="27"/>
        <item x="25"/>
        <item x="35"/>
        <item x="5"/>
        <item x="8"/>
        <item x="31"/>
        <item x="17"/>
        <item x="9"/>
        <item x="21"/>
        <item x="13"/>
        <item x="30"/>
        <item x="2"/>
        <item x="20"/>
        <item x="24"/>
        <item x="10"/>
        <item x="7"/>
        <item x="26"/>
        <item x="14"/>
        <item x="29"/>
        <item x="37"/>
        <item x="34"/>
        <item x="4"/>
        <item x="12"/>
        <item x="22"/>
        <item x="33"/>
        <item x="19"/>
        <item x="0"/>
        <item x="28"/>
        <item x="11"/>
        <item x="23"/>
        <item x="32"/>
        <item x="1"/>
        <item x="6"/>
        <item t="default"/>
      </items>
    </pivotField>
    <pivotField compact="0" outline="0" showAll="0"/>
    <pivotField compact="0" numFmtId="1" outline="0" showAll="0"/>
    <pivotField compact="0" outline="0" showAll="0"/>
    <pivotField axis="axisCol" compact="0" outline="0" showAll="0">
      <items count="3">
        <item x="1"/>
        <item x="0"/>
        <item t="default"/>
      </items>
    </pivotField>
    <pivotField compact="0" outline="0" showAll="0">
      <items count="4">
        <item x="1"/>
        <item x="0"/>
        <item x="2"/>
        <item t="default"/>
      </items>
    </pivotField>
    <pivotField compact="0" numFmtId="1" outline="0" showAll="0"/>
    <pivotField compact="0" outline="0" showAll="0"/>
    <pivotField compact="0"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compact="0" outline="0"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2"/>
  </rowFields>
  <rowItems count="6">
    <i>
      <x/>
    </i>
    <i>
      <x v="1"/>
    </i>
    <i>
      <x v="2"/>
    </i>
    <i>
      <x v="3"/>
    </i>
    <i>
      <x v="4"/>
    </i>
    <i t="grand">
      <x/>
    </i>
  </rowItems>
  <colFields count="1">
    <field x="8"/>
  </colFields>
  <colItems count="2">
    <i>
      <x/>
    </i>
    <i>
      <x v="1"/>
    </i>
  </colItems>
  <dataFields count="1">
    <dataField name="Count of EmployeeID" fld="0" subtotal="count" baseField="0" baseItem="0"/>
  </dataFields>
  <chartFormats count="3">
    <chartFormat chart="6" format="4" series="1">
      <pivotArea type="data" outline="0" fieldPosition="0">
        <references count="2">
          <reference field="4294967294" count="1" selected="0">
            <x v="0"/>
          </reference>
          <reference field="8" count="1" selected="0">
            <x v="0"/>
          </reference>
        </references>
      </pivotArea>
    </chartFormat>
    <chartFormat chart="6" format="5" series="1">
      <pivotArea type="data" outline="0" fieldPosition="0">
        <references count="2">
          <reference field="4294967294" count="1" selected="0">
            <x v="0"/>
          </reference>
          <reference field="8" count="1" selected="0">
            <x v="1"/>
          </reference>
        </references>
      </pivotArea>
    </chartFormat>
    <chartFormat chart="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595C65E-DD95-4719-8FB6-051FAB00FF91}" name="PivotTable3" cacheId="37"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6">
  <location ref="D3:E9" firstHeaderRow="1" firstDataRow="1" firstDataCol="1"/>
  <pivotFields count="14">
    <pivotField compact="0" outline="0" showAll="0"/>
    <pivotField compact="0" outline="0" showAll="0"/>
    <pivotField axis="axisRow" compact="0" outline="0" showAll="0">
      <items count="6">
        <item x="2"/>
        <item x="4"/>
        <item x="3"/>
        <item x="1"/>
        <item x="0"/>
        <item t="default"/>
      </items>
    </pivotField>
    <pivotField compact="0" numFmtId="14" outline="0" showAll="0"/>
    <pivotField compact="0" outline="0" showAll="0">
      <items count="39">
        <item x="36"/>
        <item x="15"/>
        <item x="16"/>
        <item x="18"/>
        <item x="3"/>
        <item x="27"/>
        <item x="25"/>
        <item x="35"/>
        <item x="5"/>
        <item x="8"/>
        <item x="31"/>
        <item x="17"/>
        <item x="9"/>
        <item x="21"/>
        <item x="13"/>
        <item x="30"/>
        <item x="2"/>
        <item x="20"/>
        <item x="24"/>
        <item x="10"/>
        <item x="7"/>
        <item x="26"/>
        <item x="14"/>
        <item x="29"/>
        <item x="37"/>
        <item x="34"/>
        <item x="4"/>
        <item x="12"/>
        <item x="22"/>
        <item x="33"/>
        <item x="19"/>
        <item x="0"/>
        <item x="28"/>
        <item x="11"/>
        <item x="23"/>
        <item x="32"/>
        <item x="1"/>
        <item x="6"/>
        <item t="default"/>
      </items>
    </pivotField>
    <pivotField compact="0" outline="0" showAll="0"/>
    <pivotField dataField="1" compact="0" numFmtId="1" outline="0" showAll="0"/>
    <pivotField compact="0" outline="0" showAll="0"/>
    <pivotField compact="0" outline="0" showAll="0">
      <items count="3">
        <item x="1"/>
        <item x="0"/>
        <item t="default"/>
      </items>
    </pivotField>
    <pivotField compact="0" outline="0" showAll="0">
      <items count="4">
        <item x="1"/>
        <item x="0"/>
        <item x="2"/>
        <item t="default"/>
      </items>
    </pivotField>
    <pivotField compact="0" numFmtId="1" outline="0" showAll="0"/>
    <pivotField compact="0" outline="0" showAll="0"/>
    <pivotField compact="0"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compact="0" outline="0"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2"/>
  </rowFields>
  <rowItems count="6">
    <i>
      <x/>
    </i>
    <i>
      <x v="1"/>
    </i>
    <i>
      <x v="2"/>
    </i>
    <i>
      <x v="3"/>
    </i>
    <i>
      <x v="4"/>
    </i>
    <i t="grand">
      <x/>
    </i>
  </rowItems>
  <colItems count="1">
    <i/>
  </colItems>
  <dataFields count="1">
    <dataField name="Average of WorkHours" fld="6" subtotal="average" baseField="0" baseItem="0" numFmtId="1"/>
  </dataFields>
  <formats count="6">
    <format dxfId="563">
      <pivotArea type="all" dataOnly="0" outline="0" fieldPosition="0"/>
    </format>
    <format dxfId="562">
      <pivotArea outline="0" collapsedLevelsAreSubtotals="1" fieldPosition="0"/>
    </format>
    <format dxfId="561">
      <pivotArea field="2" type="button" dataOnly="0" labelOnly="1" outline="0" axis="axisRow" fieldPosition="0"/>
    </format>
    <format dxfId="560">
      <pivotArea dataOnly="0" labelOnly="1" outline="0" fieldPosition="0">
        <references count="1">
          <reference field="2" count="0"/>
        </references>
      </pivotArea>
    </format>
    <format dxfId="559">
      <pivotArea dataOnly="0" labelOnly="1" grandRow="1" outline="0" fieldPosition="0"/>
    </format>
    <format dxfId="558">
      <pivotArea dataOnly="0" labelOnly="1" outline="0" axis="axisValues" fieldPosition="0"/>
    </format>
  </formats>
  <chartFormats count="1">
    <chartFormat chart="11"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51EA714-6D5F-4021-82EE-8F18B815F5F0}" name="PivotTable7" cacheId="37"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5">
  <location ref="E12:F16" firstHeaderRow="1" firstDataRow="1" firstDataCol="1"/>
  <pivotFields count="14">
    <pivotField dataField="1" compact="0" outline="0" showAll="0"/>
    <pivotField compact="0" outline="0" showAll="0"/>
    <pivotField compact="0" outline="0" showAll="0">
      <items count="6">
        <item x="2"/>
        <item x="4"/>
        <item x="3"/>
        <item x="1"/>
        <item x="0"/>
        <item t="default"/>
      </items>
    </pivotField>
    <pivotField compact="0" numFmtId="14" outline="0" showAll="0"/>
    <pivotField compact="0" outline="0" showAll="0">
      <items count="39">
        <item x="36"/>
        <item x="15"/>
        <item x="16"/>
        <item x="18"/>
        <item x="3"/>
        <item x="27"/>
        <item x="25"/>
        <item x="35"/>
        <item x="5"/>
        <item x="8"/>
        <item x="31"/>
        <item x="17"/>
        <item x="9"/>
        <item x="21"/>
        <item x="13"/>
        <item x="30"/>
        <item x="2"/>
        <item x="20"/>
        <item x="24"/>
        <item x="10"/>
        <item x="7"/>
        <item x="26"/>
        <item x="14"/>
        <item x="29"/>
        <item x="37"/>
        <item x="34"/>
        <item x="4"/>
        <item x="12"/>
        <item x="22"/>
        <item x="33"/>
        <item x="19"/>
        <item x="0"/>
        <item x="28"/>
        <item x="11"/>
        <item x="23"/>
        <item x="32"/>
        <item x="1"/>
        <item x="6"/>
        <item t="default"/>
      </items>
    </pivotField>
    <pivotField compact="0" outline="0" showAll="0"/>
    <pivotField compact="0" numFmtId="1" outline="0" showAll="0"/>
    <pivotField compact="0" outline="0" showAll="0"/>
    <pivotField compact="0" outline="0" showAll="0">
      <items count="3">
        <item x="1"/>
        <item x="0"/>
        <item t="default"/>
      </items>
    </pivotField>
    <pivotField axis="axisRow" compact="0" outline="0" showAll="0">
      <items count="4">
        <item x="1"/>
        <item x="0"/>
        <item x="2"/>
        <item t="default"/>
      </items>
    </pivotField>
    <pivotField compact="0" numFmtId="1" outline="0" showAll="0"/>
    <pivotField compact="0" outline="0" showAll="0"/>
    <pivotField compact="0"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compact="0" outline="0"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9"/>
  </rowFields>
  <rowItems count="4">
    <i>
      <x/>
    </i>
    <i>
      <x v="1"/>
    </i>
    <i>
      <x v="2"/>
    </i>
    <i t="grand">
      <x/>
    </i>
  </rowItems>
  <colItems count="1">
    <i/>
  </colItems>
  <dataFields count="1">
    <dataField name="Count of EmployeeID" fld="0" subtotal="count" baseField="0" baseItem="0"/>
  </dataFields>
  <chartFormats count="1">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59811CE-D8A8-4254-8EB4-C4DFF8B38102}" name="PivotTable5" cacheId="37"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7">
  <location ref="G3:H9" firstHeaderRow="1" firstDataRow="1" firstDataCol="1"/>
  <pivotFields count="14">
    <pivotField compact="0" outline="0" showAll="0"/>
    <pivotField axis="axisRow" compact="0" outline="0" showAll="0">
      <items count="6">
        <item x="0"/>
        <item x="1"/>
        <item x="2"/>
        <item x="3"/>
        <item x="4"/>
        <item t="default"/>
      </items>
    </pivotField>
    <pivotField compact="0" outline="0" showAll="0">
      <items count="6">
        <item x="2"/>
        <item x="4"/>
        <item x="3"/>
        <item x="1"/>
        <item x="0"/>
        <item t="default"/>
      </items>
    </pivotField>
    <pivotField compact="0" numFmtId="14" outline="0" showAll="0"/>
    <pivotField compact="0" outline="0" showAll="0">
      <items count="39">
        <item x="36"/>
        <item x="15"/>
        <item x="16"/>
        <item x="18"/>
        <item x="3"/>
        <item x="27"/>
        <item x="25"/>
        <item x="35"/>
        <item x="5"/>
        <item x="8"/>
        <item x="31"/>
        <item x="17"/>
        <item x="9"/>
        <item x="21"/>
        <item x="13"/>
        <item x="30"/>
        <item x="2"/>
        <item x="20"/>
        <item x="24"/>
        <item x="10"/>
        <item x="7"/>
        <item x="26"/>
        <item x="14"/>
        <item x="29"/>
        <item x="37"/>
        <item x="34"/>
        <item x="4"/>
        <item x="12"/>
        <item x="22"/>
        <item x="33"/>
        <item x="19"/>
        <item x="0"/>
        <item x="28"/>
        <item x="11"/>
        <item x="23"/>
        <item x="32"/>
        <item x="1"/>
        <item x="6"/>
        <item t="default"/>
      </items>
    </pivotField>
    <pivotField compact="0" outline="0" showAll="0"/>
    <pivotField compact="0" numFmtId="1" outline="0" showAll="0"/>
    <pivotField dataField="1" compact="0" outline="0" showAll="0"/>
    <pivotField compact="0" outline="0" showAll="0">
      <items count="3">
        <item x="1"/>
        <item x="0"/>
        <item t="default"/>
      </items>
    </pivotField>
    <pivotField compact="0" outline="0" showAll="0">
      <items count="4">
        <item x="1"/>
        <item x="0"/>
        <item x="2"/>
        <item t="default"/>
      </items>
    </pivotField>
    <pivotField compact="0" numFmtId="1" outline="0" showAll="0"/>
    <pivotField compact="0" outline="0" showAll="0"/>
    <pivotField compact="0"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compact="0" outline="0"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1"/>
  </rowFields>
  <rowItems count="6">
    <i>
      <x/>
    </i>
    <i>
      <x v="1"/>
    </i>
    <i>
      <x v="2"/>
    </i>
    <i>
      <x v="3"/>
    </i>
    <i>
      <x v="4"/>
    </i>
    <i t="grand">
      <x/>
    </i>
  </rowItems>
  <colItems count="1">
    <i/>
  </colItems>
  <dataFields count="1">
    <dataField name="Count of LateMinutes" fld="7" subtotal="count" baseField="0" baseItem="0"/>
  </dataFields>
  <formats count="6">
    <format dxfId="569">
      <pivotArea type="all" dataOnly="0" outline="0" fieldPosition="0"/>
    </format>
    <format dxfId="568">
      <pivotArea outline="0" collapsedLevelsAreSubtotals="1" fieldPosition="0"/>
    </format>
    <format dxfId="567">
      <pivotArea field="1" type="button" dataOnly="0" labelOnly="1" outline="0" axis="axisRow" fieldPosition="0"/>
    </format>
    <format dxfId="566">
      <pivotArea dataOnly="0" labelOnly="1" outline="0" fieldPosition="0">
        <references count="1">
          <reference field="1" count="0"/>
        </references>
      </pivotArea>
    </format>
    <format dxfId="565">
      <pivotArea dataOnly="0" labelOnly="1" grandRow="1" outline="0" fieldPosition="0"/>
    </format>
    <format dxfId="564">
      <pivotArea dataOnly="0" labelOnly="1" outline="0" axis="axisValues" fieldPosition="0"/>
    </format>
  </formats>
  <chartFormats count="1">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49E74B8-9712-4140-B8DC-1E832972C06D}" name="PivotTable12" cacheId="37"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K13:K14" firstHeaderRow="1" firstDataRow="1" firstDataCol="0"/>
  <pivotFields count="14">
    <pivotField dataField="1" compact="0" outline="0" showAll="0"/>
    <pivotField compact="0" outline="0" showAll="0"/>
    <pivotField compact="0" outline="0" showAll="0">
      <items count="6">
        <item x="2"/>
        <item x="4"/>
        <item x="3"/>
        <item x="1"/>
        <item x="0"/>
        <item t="default"/>
      </items>
    </pivotField>
    <pivotField compact="0" numFmtId="14" outline="0" showAll="0"/>
    <pivotField compact="0" outline="0" showAll="0">
      <items count="39">
        <item x="36"/>
        <item x="15"/>
        <item x="16"/>
        <item x="18"/>
        <item x="3"/>
        <item x="27"/>
        <item x="25"/>
        <item x="35"/>
        <item x="5"/>
        <item x="8"/>
        <item x="31"/>
        <item x="17"/>
        <item x="9"/>
        <item x="21"/>
        <item x="13"/>
        <item x="30"/>
        <item x="2"/>
        <item x="20"/>
        <item x="24"/>
        <item x="10"/>
        <item x="7"/>
        <item x="26"/>
        <item x="14"/>
        <item x="29"/>
        <item x="37"/>
        <item x="34"/>
        <item x="4"/>
        <item x="12"/>
        <item x="22"/>
        <item x="33"/>
        <item x="19"/>
        <item x="0"/>
        <item x="28"/>
        <item x="11"/>
        <item x="23"/>
        <item x="32"/>
        <item x="1"/>
        <item x="6"/>
        <item t="default"/>
      </items>
    </pivotField>
    <pivotField compact="0" outline="0" showAll="0"/>
    <pivotField compact="0" numFmtId="1" outline="0" showAll="0"/>
    <pivotField compact="0" outline="0" showAll="0"/>
    <pivotField name="Attendance" compact="0" outline="0" showAll="0">
      <items count="3">
        <item x="1"/>
        <item x="0"/>
        <item t="default"/>
      </items>
    </pivotField>
    <pivotField compact="0" outline="0" showAll="0">
      <items count="4">
        <item x="1"/>
        <item x="0"/>
        <item x="2"/>
        <item t="default"/>
      </items>
    </pivotField>
    <pivotField compact="0" numFmtId="1" outline="0" showAll="0"/>
    <pivotField compact="0" outline="0" showAll="0"/>
    <pivotField compact="0"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compact="0" outline="0"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Items count="1">
    <i/>
  </rowItems>
  <colItems count="1">
    <i/>
  </colItems>
  <dataFields count="1">
    <dataField name="Count of Employee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A7F700D-0DD5-4CF2-A6AD-ABECA356E4A4}" name="PivotTable11"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H15:I18" firstHeaderRow="1" firstDataRow="1" firstDataCol="1"/>
  <pivotFields count="14">
    <pivotField showAll="0"/>
    <pivotField showAll="0"/>
    <pivotField showAll="0">
      <items count="6">
        <item x="2"/>
        <item x="4"/>
        <item x="3"/>
        <item x="1"/>
        <item x="0"/>
        <item t="default"/>
      </items>
    </pivotField>
    <pivotField numFmtId="14" showAll="0"/>
    <pivotField showAll="0">
      <items count="39">
        <item x="36"/>
        <item x="15"/>
        <item x="16"/>
        <item x="18"/>
        <item x="3"/>
        <item x="27"/>
        <item x="25"/>
        <item x="35"/>
        <item x="5"/>
        <item x="8"/>
        <item x="31"/>
        <item x="17"/>
        <item x="9"/>
        <item x="21"/>
        <item x="13"/>
        <item x="30"/>
        <item x="2"/>
        <item x="20"/>
        <item x="24"/>
        <item x="10"/>
        <item x="7"/>
        <item x="26"/>
        <item x="14"/>
        <item x="29"/>
        <item x="37"/>
        <item x="34"/>
        <item x="4"/>
        <item x="12"/>
        <item x="22"/>
        <item x="33"/>
        <item x="19"/>
        <item x="0"/>
        <item x="28"/>
        <item x="11"/>
        <item x="23"/>
        <item x="32"/>
        <item x="1"/>
        <item x="6"/>
        <item t="default"/>
      </items>
    </pivotField>
    <pivotField showAll="0"/>
    <pivotField numFmtId="1" showAll="0"/>
    <pivotField showAll="0"/>
    <pivotField showAll="0">
      <items count="3">
        <item x="1"/>
        <item x="0"/>
        <item t="default"/>
      </items>
    </pivotField>
    <pivotField showAll="0">
      <items count="4">
        <item x="1"/>
        <item x="0"/>
        <item x="2"/>
        <item t="default"/>
      </items>
    </pivotField>
    <pivotField numFmtId="1" showAll="0"/>
    <pivotField axis="axisRow" dataField="1" showAll="0">
      <items count="3">
        <item x="0"/>
        <item x="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11"/>
  </rowFields>
  <rowItems count="3">
    <i>
      <x/>
    </i>
    <i>
      <x v="1"/>
    </i>
    <i t="grand">
      <x/>
    </i>
  </rowItems>
  <colItems count="1">
    <i/>
  </colItems>
  <dataFields count="1">
    <dataField name="Count of On Time Flag" fld="11" subtotal="count" baseField="11" baseItem="0"/>
  </dataFields>
  <chartFormats count="3">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11" count="1" selected="0">
            <x v="0"/>
          </reference>
        </references>
      </pivotArea>
    </chartFormat>
    <chartFormat chart="5" format="8">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2338AFB-ED9B-466F-ADF4-3B5C2453484A}" name="PivotTable6" cacheId="37"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4">
  <location ref="J3:K8" firstHeaderRow="1" firstDataRow="1" firstDataCol="1"/>
  <pivotFields count="14">
    <pivotField compact="0" outline="0" showAll="0"/>
    <pivotField compact="0" outline="0" showAll="0"/>
    <pivotField axis="axisRow" compact="0" outline="0" showAll="0">
      <items count="6">
        <item x="2"/>
        <item x="4"/>
        <item x="3"/>
        <item x="1"/>
        <item x="0"/>
        <item t="default"/>
      </items>
    </pivotField>
    <pivotField compact="0" numFmtId="14" outline="0" showAll="0"/>
    <pivotField compact="0" outline="0" showAll="0">
      <items count="39">
        <item x="36"/>
        <item x="15"/>
        <item x="16"/>
        <item x="18"/>
        <item x="3"/>
        <item x="27"/>
        <item x="25"/>
        <item x="35"/>
        <item x="5"/>
        <item x="8"/>
        <item x="31"/>
        <item x="17"/>
        <item x="9"/>
        <item x="21"/>
        <item x="13"/>
        <item x="30"/>
        <item x="2"/>
        <item x="20"/>
        <item x="24"/>
        <item x="10"/>
        <item x="7"/>
        <item x="26"/>
        <item x="14"/>
        <item x="29"/>
        <item x="37"/>
        <item x="34"/>
        <item x="4"/>
        <item x="12"/>
        <item x="22"/>
        <item x="33"/>
        <item x="19"/>
        <item x="0"/>
        <item x="28"/>
        <item x="11"/>
        <item x="23"/>
        <item x="32"/>
        <item x="1"/>
        <item x="6"/>
        <item t="default"/>
      </items>
    </pivotField>
    <pivotField compact="0" outline="0" showAll="0"/>
    <pivotField compact="0" numFmtId="1" outline="0" showAll="0"/>
    <pivotField compact="0" outline="0" showAll="0"/>
    <pivotField compact="0" outline="0" showAll="0">
      <items count="3">
        <item x="1"/>
        <item x="0"/>
        <item t="default"/>
      </items>
    </pivotField>
    <pivotField compact="0" outline="0" showAll="0">
      <items count="4">
        <item x="1"/>
        <item x="0"/>
        <item x="2"/>
        <item t="default"/>
      </items>
    </pivotField>
    <pivotField dataField="1" compact="0" numFmtId="1" outline="0" showAll="0"/>
    <pivotField compact="0" outline="0" showAll="0"/>
    <pivotField compact="0"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compact="0" outline="0"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2"/>
  </rowFields>
  <rowItems count="5">
    <i>
      <x/>
    </i>
    <i>
      <x v="1"/>
    </i>
    <i>
      <x v="2"/>
    </i>
    <i>
      <x v="3"/>
    </i>
    <i>
      <x v="4"/>
    </i>
  </rowItems>
  <colItems count="1">
    <i/>
  </colItems>
  <dataFields count="1">
    <dataField name="Count" fld="10" subtotal="count" baseField="0" baseItem="0"/>
  </dataFields>
  <formats count="6">
    <format dxfId="575">
      <pivotArea type="all" dataOnly="0" outline="0" fieldPosition="0"/>
    </format>
    <format dxfId="574">
      <pivotArea outline="0" collapsedLevelsAreSubtotals="1" fieldPosition="0"/>
    </format>
    <format dxfId="573">
      <pivotArea field="2" type="button" dataOnly="0" labelOnly="1" outline="0" axis="axisRow" fieldPosition="0"/>
    </format>
    <format dxfId="572">
      <pivotArea dataOnly="0" labelOnly="1" outline="0" fieldPosition="0">
        <references count="1">
          <reference field="2" count="0"/>
        </references>
      </pivotArea>
    </format>
    <format dxfId="571">
      <pivotArea dataOnly="0" labelOnly="1" grandRow="1" outline="0" fieldPosition="0"/>
    </format>
    <format dxfId="57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0F63CA5-4FDD-4405-B581-0D7E7E3064C4}" name="PivotTable1" cacheId="37"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0">
  <location ref="A3:B6" firstHeaderRow="1" firstDataRow="1" firstDataCol="1"/>
  <pivotFields count="14">
    <pivotField dataField="1" compact="0" outline="0" showAll="0"/>
    <pivotField compact="0" outline="0" showAll="0"/>
    <pivotField compact="0" outline="0" showAll="0">
      <items count="6">
        <item x="2"/>
        <item x="4"/>
        <item x="3"/>
        <item x="1"/>
        <item x="0"/>
        <item t="default"/>
      </items>
    </pivotField>
    <pivotField compact="0" numFmtId="14" outline="0" showAll="0"/>
    <pivotField compact="0" outline="0" showAll="0">
      <items count="39">
        <item x="36"/>
        <item x="15"/>
        <item x="16"/>
        <item x="18"/>
        <item x="3"/>
        <item x="27"/>
        <item x="25"/>
        <item x="35"/>
        <item x="5"/>
        <item x="8"/>
        <item x="31"/>
        <item x="17"/>
        <item x="9"/>
        <item x="21"/>
        <item x="13"/>
        <item x="30"/>
        <item x="2"/>
        <item x="20"/>
        <item x="24"/>
        <item x="10"/>
        <item x="7"/>
        <item x="26"/>
        <item x="14"/>
        <item x="29"/>
        <item x="37"/>
        <item x="34"/>
        <item x="4"/>
        <item x="12"/>
        <item x="22"/>
        <item x="33"/>
        <item x="19"/>
        <item x="0"/>
        <item x="28"/>
        <item x="11"/>
        <item x="23"/>
        <item x="32"/>
        <item x="1"/>
        <item x="6"/>
        <item t="default"/>
      </items>
    </pivotField>
    <pivotField compact="0" outline="0" showAll="0"/>
    <pivotField compact="0" numFmtId="1" outline="0" showAll="0"/>
    <pivotField compact="0" outline="0" showAll="0"/>
    <pivotField name="Attendance" axis="axisRow" compact="0" outline="0" showAll="0">
      <items count="3">
        <item x="1"/>
        <item x="0"/>
        <item t="default"/>
      </items>
    </pivotField>
    <pivotField compact="0" outline="0" showAll="0">
      <items count="4">
        <item x="1"/>
        <item x="0"/>
        <item x="2"/>
        <item t="default"/>
      </items>
    </pivotField>
    <pivotField compact="0" numFmtId="1" outline="0" showAll="0"/>
    <pivotField compact="0" outline="0" showAll="0"/>
    <pivotField compact="0"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compact="0" outline="0"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8"/>
  </rowFields>
  <rowItems count="3">
    <i>
      <x/>
    </i>
    <i>
      <x v="1"/>
    </i>
    <i t="grand">
      <x/>
    </i>
  </rowItems>
  <colItems count="1">
    <i/>
  </colItems>
  <dataFields count="1">
    <dataField name="Count of EmployeeID" fld="0" subtotal="count" baseField="0" baseItem="0"/>
  </dataFields>
  <chartFormats count="3">
    <chartFormat chart="7" format="5" series="1">
      <pivotArea type="data" outline="0" fieldPosition="0">
        <references count="1">
          <reference field="4294967294" count="1" selected="0">
            <x v="0"/>
          </reference>
        </references>
      </pivotArea>
    </chartFormat>
    <chartFormat chart="7" format="6">
      <pivotArea type="data" outline="0" fieldPosition="0">
        <references count="2">
          <reference field="4294967294" count="1" selected="0">
            <x v="0"/>
          </reference>
          <reference field="8" count="1" selected="0">
            <x v="0"/>
          </reference>
        </references>
      </pivotArea>
    </chartFormat>
    <chartFormat chart="7" format="7">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endanceStatus" xr10:uid="{DDDE295B-8254-4417-9D63-F1057FF0C60E}" sourceName="AttendanceStatus">
  <pivotTables>
    <pivotTable tabId="2" name="PivotTable1"/>
    <pivotTable tabId="2" name="PivotTable3"/>
    <pivotTable tabId="2" name="PivotTable5"/>
    <pivotTable tabId="2" name="PivotTable6"/>
    <pivotTable tabId="2" name="PivotTable7"/>
    <pivotTable tabId="2" name="PivotTable8"/>
    <pivotTable tabId="2" name="PivotTable12"/>
    <pivotTable tabId="2" name="PivotTable11"/>
  </pivotTables>
  <data>
    <tabular pivotCacheId="230825223">
      <items count="2">
        <i x="1" s="1"/>
        <i x="0"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5C09EAA1-76AA-4819-B152-9A135DECF3BD}" sourceName="Department">
  <pivotTables>
    <pivotTable tabId="2" name="PivotTable3"/>
    <pivotTable tabId="2" name="PivotTable1"/>
    <pivotTable tabId="2" name="PivotTable5"/>
    <pivotTable tabId="2" name="PivotTable6"/>
    <pivotTable tabId="2" name="PivotTable7"/>
    <pivotTable tabId="2" name="PivotTable8"/>
    <pivotTable tabId="2" name="PivotTable12"/>
    <pivotTable tabId="2" name="PivotTable11"/>
  </pivotTables>
  <data>
    <tabular pivotCacheId="230825223">
      <items count="5">
        <i x="2" s="1"/>
        <i x="4" s="1"/>
        <i x="3" s="1"/>
        <i x="1" s="1"/>
        <i x="0"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A6057EDB-2516-4C38-A73B-9F4930EE5FDC}" sourceName="Location">
  <pivotTables>
    <pivotTable tabId="2" name="PivotTable7"/>
    <pivotTable tabId="2" name="PivotTable1"/>
    <pivotTable tabId="2" name="PivotTable3"/>
    <pivotTable tabId="2" name="PivotTable5"/>
    <pivotTable tabId="2" name="PivotTable6"/>
    <pivotTable tabId="2" name="PivotTable8"/>
    <pivotTable tabId="2" name="PivotTable12"/>
    <pivotTable tabId="2" name="PivotTable11"/>
  </pivotTables>
  <data>
    <tabular pivotCacheId="230825223">
      <items count="3">
        <i x="1" s="1"/>
        <i x="0"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ttendance" xr10:uid="{40D57CD2-6EF4-49F4-BA74-6B46E2D37CB1}" cache="Slicer_AttendanceStatus" caption="Attendance" columnCount="2" style="SlicerStyleDark4 2" rowHeight="234950"/>
  <slicer name="Department" xr10:uid="{413E7562-931D-4160-BCEF-AA2E9C1D5BEB}" cache="Slicer_Department" caption="Department" columnCount="3" style="SlicerStyleDark4 2" rowHeight="234950"/>
  <slicer name="Location" xr10:uid="{4B1BE9EF-FE97-4E4C-8156-4AFAE36A393A}" cache="Slicer_Location" caption="Location" columnCount="2" style="SlicerStyleDark4 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4B651C-3E4F-44D2-8B87-95A74E99C279}" name="Table1" displayName="Table1" ref="A1:L101" totalsRowShown="0">
  <autoFilter ref="A1:L101" xr:uid="{304B651C-3E4F-44D2-8B87-95A74E99C279}"/>
  <tableColumns count="12">
    <tableColumn id="1" xr3:uid="{00546465-0032-4CCF-98BA-8B0A827510D5}" name="EmployeeID"/>
    <tableColumn id="2" xr3:uid="{7D8EDD3F-325B-4947-A871-54175B98A918}" name="Name"/>
    <tableColumn id="3" xr3:uid="{FEF1B029-30DC-4DFC-B199-8158D53293BF}" name="Department"/>
    <tableColumn id="4" xr3:uid="{722F6FA8-B8BF-4E92-BBBA-E7CA62C9C64B}" name="Date" dataDxfId="581"/>
    <tableColumn id="5" xr3:uid="{BBC6EB31-AD47-4ACE-8C4E-E1FA7BCA915D}" name="CheckIn" dataDxfId="580"/>
    <tableColumn id="6" xr3:uid="{AA03D88B-7F80-4618-9DE2-B89AB2AC878D}" name="CheckOut" dataDxfId="579"/>
    <tableColumn id="7" xr3:uid="{CCE84843-68CC-4E7E-B0F4-939E0D37F2BE}" name="WorkHours" dataDxfId="578"/>
    <tableColumn id="8" xr3:uid="{06B14119-7DE2-4BB9-8EF2-CB4BE0D64EEF}" name="LateMinutes"/>
    <tableColumn id="9" xr3:uid="{5375F24A-4A4C-4A83-AC32-CE9C816CD928}" name="AttendanceStatus"/>
    <tableColumn id="10" xr3:uid="{643C8D5F-A69E-4A19-AAFC-F4B6DB941E3D}" name="Location"/>
    <tableColumn id="11" xr3:uid="{60AB345B-4373-4C88-841D-41C229A6EBAC}" name="Overtime Hours" dataDxfId="577">
      <calculatedColumnFormula>MAX(0,Table1[[#This Row],[WorkHours]]-8)</calculatedColumnFormula>
    </tableColumn>
    <tableColumn id="12" xr3:uid="{48033C8D-4379-4233-9835-77ACA30D7DC3}" name="On Time Flag" dataDxfId="576">
      <calculatedColumnFormula>IF(Table1[[#This Row],[LateMinutes]]&gt;0, "Late", "OnTime")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B3494-8AD7-4933-9C74-30B6E475D6D2}">
  <sheetPr codeName="Sheet1"/>
  <dimension ref="A1:L101"/>
  <sheetViews>
    <sheetView workbookViewId="0"/>
  </sheetViews>
  <sheetFormatPr defaultRowHeight="14.4" x14ac:dyDescent="0.3"/>
  <cols>
    <col min="1" max="1" width="13.88671875" bestFit="1" customWidth="1"/>
    <col min="2" max="2" width="12.6640625" bestFit="1" customWidth="1"/>
    <col min="3" max="3" width="14" bestFit="1" customWidth="1"/>
    <col min="4" max="4" width="11.109375" bestFit="1" customWidth="1"/>
    <col min="5" max="5" width="10.109375" bestFit="1" customWidth="1"/>
    <col min="6" max="6" width="11.6640625" bestFit="1" customWidth="1"/>
    <col min="7" max="7" width="13.33203125" bestFit="1" customWidth="1"/>
    <col min="8" max="8" width="14.33203125" bestFit="1" customWidth="1"/>
    <col min="9" max="9" width="19" bestFit="1" customWidth="1"/>
    <col min="10" max="10" width="10.6640625" bestFit="1" customWidth="1"/>
    <col min="11" max="11" width="17.33203125" bestFit="1" customWidth="1"/>
    <col min="12" max="12" width="14.6640625" bestFit="1"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t="s">
        <v>12</v>
      </c>
      <c r="B2" t="s">
        <v>13</v>
      </c>
      <c r="C2" t="s">
        <v>14</v>
      </c>
      <c r="D2" s="1">
        <v>45870</v>
      </c>
      <c r="E2" s="2">
        <v>0.39166666666666666</v>
      </c>
      <c r="F2" s="2">
        <v>0.75694444444444442</v>
      </c>
      <c r="G2" s="3">
        <v>8.77</v>
      </c>
      <c r="H2">
        <v>24</v>
      </c>
      <c r="I2" t="s">
        <v>15</v>
      </c>
      <c r="J2" t="s">
        <v>16</v>
      </c>
      <c r="K2" s="3">
        <f>MAX(0,Table1[[#This Row],[WorkHours]]-8)</f>
        <v>0.76999999999999957</v>
      </c>
      <c r="L2" t="str">
        <f>IF(Table1[[#This Row],[LateMinutes]]&gt;0, "Late", "OnTime")</f>
        <v>Late</v>
      </c>
    </row>
    <row r="3" spans="1:12" x14ac:dyDescent="0.3">
      <c r="A3" t="s">
        <v>12</v>
      </c>
      <c r="B3" t="s">
        <v>13</v>
      </c>
      <c r="C3" t="s">
        <v>14</v>
      </c>
      <c r="D3" s="1">
        <v>45873</v>
      </c>
      <c r="E3" s="2">
        <v>0.39583333333333331</v>
      </c>
      <c r="F3" s="2">
        <v>0.7006944444444444</v>
      </c>
      <c r="G3" s="3">
        <v>7.32</v>
      </c>
      <c r="H3">
        <v>30</v>
      </c>
      <c r="I3" t="s">
        <v>15</v>
      </c>
      <c r="J3" t="s">
        <v>17</v>
      </c>
      <c r="K3" s="3">
        <f>MAX(0,Table1[[#This Row],[WorkHours]]-8)</f>
        <v>0</v>
      </c>
      <c r="L3" t="str">
        <f>IF(Table1[[#This Row],[LateMinutes]]&gt;0, "Late", "OnTime")</f>
        <v>Late</v>
      </c>
    </row>
    <row r="4" spans="1:12" x14ac:dyDescent="0.3">
      <c r="A4" t="s">
        <v>12</v>
      </c>
      <c r="B4" t="s">
        <v>13</v>
      </c>
      <c r="C4" t="s">
        <v>14</v>
      </c>
      <c r="D4" s="1">
        <v>45874</v>
      </c>
      <c r="E4" s="2">
        <v>0.37986111111111109</v>
      </c>
      <c r="F4" s="2">
        <v>0.68333333333333335</v>
      </c>
      <c r="G4" s="3">
        <v>7.28</v>
      </c>
      <c r="H4">
        <v>7</v>
      </c>
      <c r="I4" t="s">
        <v>15</v>
      </c>
      <c r="J4" t="s">
        <v>17</v>
      </c>
      <c r="K4" s="3">
        <f>MAX(0,Table1[[#This Row],[WorkHours]]-8)</f>
        <v>0</v>
      </c>
      <c r="L4" t="str">
        <f>IF(Table1[[#This Row],[LateMinutes]]&gt;0, "Late", "OnTime")</f>
        <v>Late</v>
      </c>
    </row>
    <row r="5" spans="1:12" x14ac:dyDescent="0.3">
      <c r="A5" t="s">
        <v>12</v>
      </c>
      <c r="B5" t="s">
        <v>13</v>
      </c>
      <c r="C5" t="s">
        <v>14</v>
      </c>
      <c r="D5" s="1">
        <v>45875</v>
      </c>
      <c r="E5" s="2">
        <v>0.36805555555555558</v>
      </c>
      <c r="F5" s="2">
        <v>0.67152777777777772</v>
      </c>
      <c r="G5" s="3">
        <v>7.28</v>
      </c>
      <c r="H5">
        <v>0</v>
      </c>
      <c r="I5" t="s">
        <v>15</v>
      </c>
      <c r="J5" t="s">
        <v>17</v>
      </c>
      <c r="K5" s="3">
        <f>MAX(0,Table1[[#This Row],[WorkHours]]-8)</f>
        <v>0</v>
      </c>
      <c r="L5" t="str">
        <f>IF(Table1[[#This Row],[LateMinutes]]&gt;0, "Late", "OnTime")</f>
        <v>OnTime</v>
      </c>
    </row>
    <row r="6" spans="1:12" x14ac:dyDescent="0.3">
      <c r="A6" t="s">
        <v>12</v>
      </c>
      <c r="B6" t="s">
        <v>13</v>
      </c>
      <c r="C6" t="s">
        <v>14</v>
      </c>
      <c r="D6" s="1">
        <v>45876</v>
      </c>
      <c r="E6" s="2">
        <v>0.39166666666666666</v>
      </c>
      <c r="F6" s="2">
        <v>0.71527777777777779</v>
      </c>
      <c r="G6" s="3">
        <v>7.77</v>
      </c>
      <c r="H6">
        <v>24</v>
      </c>
      <c r="I6" t="s">
        <v>15</v>
      </c>
      <c r="J6" t="s">
        <v>17</v>
      </c>
      <c r="K6" s="3">
        <f>MAX(0,Table1[[#This Row],[WorkHours]]-8)</f>
        <v>0</v>
      </c>
      <c r="L6" t="str">
        <f>IF(Table1[[#This Row],[LateMinutes]]&gt;0, "Late", "OnTime")</f>
        <v>Late</v>
      </c>
    </row>
    <row r="7" spans="1:12" x14ac:dyDescent="0.3">
      <c r="A7" t="s">
        <v>12</v>
      </c>
      <c r="B7" t="s">
        <v>13</v>
      </c>
      <c r="C7" t="s">
        <v>14</v>
      </c>
      <c r="D7" s="1">
        <v>45877</v>
      </c>
      <c r="E7" s="2">
        <v>0.38750000000000001</v>
      </c>
      <c r="F7" s="2">
        <v>0.70694444444444449</v>
      </c>
      <c r="G7" s="3">
        <v>7.67</v>
      </c>
      <c r="H7">
        <v>18</v>
      </c>
      <c r="I7" t="s">
        <v>15</v>
      </c>
      <c r="J7" t="s">
        <v>16</v>
      </c>
      <c r="K7" s="3">
        <f>MAX(0,Table1[[#This Row],[WorkHours]]-8)</f>
        <v>0</v>
      </c>
      <c r="L7" t="str">
        <f>IF(Table1[[#This Row],[LateMinutes]]&gt;0, "Late", "OnTime")</f>
        <v>Late</v>
      </c>
    </row>
    <row r="8" spans="1:12" x14ac:dyDescent="0.3">
      <c r="A8" t="s">
        <v>12</v>
      </c>
      <c r="B8" t="s">
        <v>13</v>
      </c>
      <c r="C8" t="s">
        <v>14</v>
      </c>
      <c r="D8" s="1">
        <v>45880</v>
      </c>
      <c r="E8" s="2">
        <v>0.39583333333333331</v>
      </c>
      <c r="F8" s="2">
        <v>0.7583333333333333</v>
      </c>
      <c r="G8" s="3">
        <v>8.6999999999999993</v>
      </c>
      <c r="H8">
        <v>30</v>
      </c>
      <c r="I8" t="s">
        <v>15</v>
      </c>
      <c r="J8" t="s">
        <v>16</v>
      </c>
      <c r="K8" s="3">
        <f>MAX(0,Table1[[#This Row],[WorkHours]]-8)</f>
        <v>0.69999999999999929</v>
      </c>
      <c r="L8" t="str">
        <f>IF(Table1[[#This Row],[LateMinutes]]&gt;0, "Late", "OnTime")</f>
        <v>Late</v>
      </c>
    </row>
    <row r="9" spans="1:12" x14ac:dyDescent="0.3">
      <c r="A9" t="s">
        <v>12</v>
      </c>
      <c r="B9" t="s">
        <v>13</v>
      </c>
      <c r="C9" t="s">
        <v>14</v>
      </c>
      <c r="D9" s="1">
        <v>45881</v>
      </c>
      <c r="E9" s="2">
        <v>0.37152777777777779</v>
      </c>
      <c r="F9" s="2">
        <v>0.68125000000000002</v>
      </c>
      <c r="G9" s="3">
        <v>7.43</v>
      </c>
      <c r="H9">
        <v>0</v>
      </c>
      <c r="I9" t="s">
        <v>15</v>
      </c>
      <c r="J9" t="s">
        <v>18</v>
      </c>
      <c r="K9" s="3">
        <f>MAX(0,Table1[[#This Row],[WorkHours]]-8)</f>
        <v>0</v>
      </c>
      <c r="L9" t="str">
        <f>IF(Table1[[#This Row],[LateMinutes]]&gt;0, "Late", "OnTime")</f>
        <v>OnTime</v>
      </c>
    </row>
    <row r="10" spans="1:12" x14ac:dyDescent="0.3">
      <c r="A10" t="s">
        <v>12</v>
      </c>
      <c r="B10" t="s">
        <v>13</v>
      </c>
      <c r="C10" t="s">
        <v>14</v>
      </c>
      <c r="D10" s="1">
        <v>45882</v>
      </c>
      <c r="G10" s="3">
        <v>0</v>
      </c>
      <c r="H10">
        <v>0</v>
      </c>
      <c r="I10" t="s">
        <v>19</v>
      </c>
      <c r="J10" t="s">
        <v>18</v>
      </c>
      <c r="K10" s="3">
        <f>MAX(0,Table1[[#This Row],[WorkHours]]-8)</f>
        <v>0</v>
      </c>
      <c r="L10" t="str">
        <f>IF(Table1[[#This Row],[LateMinutes]]&gt;0, "Late", "OnTime")</f>
        <v>OnTime</v>
      </c>
    </row>
    <row r="11" spans="1:12" x14ac:dyDescent="0.3">
      <c r="A11" t="s">
        <v>12</v>
      </c>
      <c r="B11" t="s">
        <v>13</v>
      </c>
      <c r="C11" t="s">
        <v>14</v>
      </c>
      <c r="D11" s="1">
        <v>45883</v>
      </c>
      <c r="E11" s="2">
        <v>0.36805555555555558</v>
      </c>
      <c r="F11" s="2">
        <v>0.6645833333333333</v>
      </c>
      <c r="G11" s="3">
        <v>7.12</v>
      </c>
      <c r="H11">
        <v>0</v>
      </c>
      <c r="I11" t="s">
        <v>15</v>
      </c>
      <c r="J11" t="s">
        <v>17</v>
      </c>
      <c r="K11" s="3">
        <f>MAX(0,Table1[[#This Row],[WorkHours]]-8)</f>
        <v>0</v>
      </c>
      <c r="L11" t="str">
        <f>IF(Table1[[#This Row],[LateMinutes]]&gt;0, "Late", "OnTime")</f>
        <v>OnTime</v>
      </c>
    </row>
    <row r="12" spans="1:12" x14ac:dyDescent="0.3">
      <c r="A12" t="s">
        <v>12</v>
      </c>
      <c r="B12" t="s">
        <v>13</v>
      </c>
      <c r="C12" t="s">
        <v>14</v>
      </c>
      <c r="D12" s="1">
        <v>45884</v>
      </c>
      <c r="E12" s="2">
        <v>0.39583333333333331</v>
      </c>
      <c r="F12" s="2">
        <v>0.74027777777777781</v>
      </c>
      <c r="G12" s="3">
        <v>8.27</v>
      </c>
      <c r="H12">
        <v>30</v>
      </c>
      <c r="I12" t="s">
        <v>15</v>
      </c>
      <c r="J12" t="s">
        <v>17</v>
      </c>
      <c r="K12" s="3">
        <f>MAX(0,Table1[[#This Row],[WorkHours]]-8)</f>
        <v>0.26999999999999957</v>
      </c>
      <c r="L12" t="str">
        <f>IF(Table1[[#This Row],[LateMinutes]]&gt;0, "Late", "OnTime")</f>
        <v>Late</v>
      </c>
    </row>
    <row r="13" spans="1:12" x14ac:dyDescent="0.3">
      <c r="A13" t="s">
        <v>12</v>
      </c>
      <c r="B13" t="s">
        <v>13</v>
      </c>
      <c r="C13" t="s">
        <v>14</v>
      </c>
      <c r="D13" s="1">
        <v>45887</v>
      </c>
      <c r="E13" s="2">
        <v>0.38263888888888886</v>
      </c>
      <c r="F13" s="2">
        <v>0.76388888888888884</v>
      </c>
      <c r="G13" s="3">
        <v>9.15</v>
      </c>
      <c r="H13">
        <v>11</v>
      </c>
      <c r="I13" t="s">
        <v>15</v>
      </c>
      <c r="J13" t="s">
        <v>16</v>
      </c>
      <c r="K13" s="3">
        <f>MAX(0,Table1[[#This Row],[WorkHours]]-8)</f>
        <v>1.1500000000000004</v>
      </c>
      <c r="L13" t="str">
        <f>IF(Table1[[#This Row],[LateMinutes]]&gt;0, "Late", "OnTime")</f>
        <v>Late</v>
      </c>
    </row>
    <row r="14" spans="1:12" x14ac:dyDescent="0.3">
      <c r="A14" t="s">
        <v>12</v>
      </c>
      <c r="B14" t="s">
        <v>13</v>
      </c>
      <c r="C14" t="s">
        <v>14</v>
      </c>
      <c r="D14" s="1">
        <v>45888</v>
      </c>
      <c r="E14" s="2">
        <v>0.37222222222222223</v>
      </c>
      <c r="F14" s="2">
        <v>0.74236111111111114</v>
      </c>
      <c r="G14" s="3">
        <v>8.8800000000000008</v>
      </c>
      <c r="H14">
        <v>0</v>
      </c>
      <c r="I14" t="s">
        <v>15</v>
      </c>
      <c r="J14" t="s">
        <v>17</v>
      </c>
      <c r="K14" s="3">
        <f>MAX(0,Table1[[#This Row],[WorkHours]]-8)</f>
        <v>0.88000000000000078</v>
      </c>
      <c r="L14" t="str">
        <f>IF(Table1[[#This Row],[LateMinutes]]&gt;0, "Late", "OnTime")</f>
        <v>OnTime</v>
      </c>
    </row>
    <row r="15" spans="1:12" x14ac:dyDescent="0.3">
      <c r="A15" t="s">
        <v>12</v>
      </c>
      <c r="B15" t="s">
        <v>13</v>
      </c>
      <c r="C15" t="s">
        <v>14</v>
      </c>
      <c r="D15" s="1">
        <v>45889</v>
      </c>
      <c r="G15" s="3">
        <v>0</v>
      </c>
      <c r="H15">
        <v>0</v>
      </c>
      <c r="I15" t="s">
        <v>19</v>
      </c>
      <c r="J15" t="s">
        <v>17</v>
      </c>
      <c r="K15" s="3">
        <f>MAX(0,Table1[[#This Row],[WorkHours]]-8)</f>
        <v>0</v>
      </c>
      <c r="L15" t="str">
        <f>IF(Table1[[#This Row],[LateMinutes]]&gt;0, "Late", "OnTime")</f>
        <v>OnTime</v>
      </c>
    </row>
    <row r="16" spans="1:12" x14ac:dyDescent="0.3">
      <c r="A16" t="s">
        <v>12</v>
      </c>
      <c r="B16" t="s">
        <v>13</v>
      </c>
      <c r="C16" t="s">
        <v>14</v>
      </c>
      <c r="D16" s="1">
        <v>45891</v>
      </c>
      <c r="E16" s="2">
        <v>0.37638888888888888</v>
      </c>
      <c r="F16" s="2">
        <v>0.72986111111111107</v>
      </c>
      <c r="G16" s="3">
        <v>8.48</v>
      </c>
      <c r="H16">
        <v>2</v>
      </c>
      <c r="I16" t="s">
        <v>15</v>
      </c>
      <c r="J16" t="s">
        <v>18</v>
      </c>
      <c r="K16" s="3">
        <f>MAX(0,Table1[[#This Row],[WorkHours]]-8)</f>
        <v>0.48000000000000043</v>
      </c>
      <c r="L16" t="str">
        <f>IF(Table1[[#This Row],[LateMinutes]]&gt;0, "Late", "OnTime")</f>
        <v>Late</v>
      </c>
    </row>
    <row r="17" spans="1:12" x14ac:dyDescent="0.3">
      <c r="A17" t="s">
        <v>12</v>
      </c>
      <c r="B17" t="s">
        <v>13</v>
      </c>
      <c r="C17" t="s">
        <v>14</v>
      </c>
      <c r="D17" s="1">
        <v>45894</v>
      </c>
      <c r="E17" s="2">
        <v>0.38194444444444442</v>
      </c>
      <c r="F17" s="2">
        <v>0.68888888888888888</v>
      </c>
      <c r="G17" s="3">
        <v>7.37</v>
      </c>
      <c r="H17">
        <v>10</v>
      </c>
      <c r="I17" t="s">
        <v>15</v>
      </c>
      <c r="J17" t="s">
        <v>18</v>
      </c>
      <c r="K17" s="3">
        <f>MAX(0,Table1[[#This Row],[WorkHours]]-8)</f>
        <v>0</v>
      </c>
      <c r="L17" t="str">
        <f>IF(Table1[[#This Row],[LateMinutes]]&gt;0, "Late", "OnTime")</f>
        <v>Late</v>
      </c>
    </row>
    <row r="18" spans="1:12" x14ac:dyDescent="0.3">
      <c r="A18" t="s">
        <v>12</v>
      </c>
      <c r="B18" t="s">
        <v>13</v>
      </c>
      <c r="C18" t="s">
        <v>14</v>
      </c>
      <c r="D18" s="1">
        <v>45895</v>
      </c>
      <c r="E18" s="2">
        <v>0.39305555555555555</v>
      </c>
      <c r="F18" s="2">
        <v>0.76249999999999996</v>
      </c>
      <c r="G18" s="3">
        <v>8.8699999999999992</v>
      </c>
      <c r="H18">
        <v>26</v>
      </c>
      <c r="I18" t="s">
        <v>15</v>
      </c>
      <c r="J18" t="s">
        <v>17</v>
      </c>
      <c r="K18" s="3">
        <f>MAX(0,Table1[[#This Row],[WorkHours]]-8)</f>
        <v>0.86999999999999922</v>
      </c>
      <c r="L18" t="str">
        <f>IF(Table1[[#This Row],[LateMinutes]]&gt;0, "Late", "OnTime")</f>
        <v>Late</v>
      </c>
    </row>
    <row r="19" spans="1:12" x14ac:dyDescent="0.3">
      <c r="A19" t="s">
        <v>12</v>
      </c>
      <c r="B19" t="s">
        <v>13</v>
      </c>
      <c r="C19" t="s">
        <v>14</v>
      </c>
      <c r="D19" s="1">
        <v>45896</v>
      </c>
      <c r="E19" s="2">
        <v>0.38819444444444445</v>
      </c>
      <c r="F19" s="2">
        <v>0.69861111111111107</v>
      </c>
      <c r="G19" s="3">
        <v>7.45</v>
      </c>
      <c r="H19">
        <v>19</v>
      </c>
      <c r="I19" t="s">
        <v>15</v>
      </c>
      <c r="J19" t="s">
        <v>17</v>
      </c>
      <c r="K19" s="3">
        <f>MAX(0,Table1[[#This Row],[WorkHours]]-8)</f>
        <v>0</v>
      </c>
      <c r="L19" t="str">
        <f>IF(Table1[[#This Row],[LateMinutes]]&gt;0, "Late", "OnTime")</f>
        <v>Late</v>
      </c>
    </row>
    <row r="20" spans="1:12" x14ac:dyDescent="0.3">
      <c r="A20" t="s">
        <v>12</v>
      </c>
      <c r="B20" t="s">
        <v>13</v>
      </c>
      <c r="C20" t="s">
        <v>14</v>
      </c>
      <c r="D20" s="1">
        <v>45897</v>
      </c>
      <c r="E20" s="2">
        <v>0.37847222222222221</v>
      </c>
      <c r="F20" s="2">
        <v>0.78472222222222221</v>
      </c>
      <c r="G20" s="3">
        <v>9.75</v>
      </c>
      <c r="H20">
        <v>5</v>
      </c>
      <c r="I20" t="s">
        <v>15</v>
      </c>
      <c r="J20" t="s">
        <v>18</v>
      </c>
      <c r="K20" s="3">
        <f>MAX(0,Table1[[#This Row],[WorkHours]]-8)</f>
        <v>1.75</v>
      </c>
      <c r="L20" t="str">
        <f>IF(Table1[[#This Row],[LateMinutes]]&gt;0, "Late", "OnTime")</f>
        <v>Late</v>
      </c>
    </row>
    <row r="21" spans="1:12" x14ac:dyDescent="0.3">
      <c r="A21" t="s">
        <v>12</v>
      </c>
      <c r="B21" t="s">
        <v>13</v>
      </c>
      <c r="C21" t="s">
        <v>14</v>
      </c>
      <c r="D21" s="1">
        <v>45898</v>
      </c>
      <c r="E21" s="2">
        <v>0.37847222222222221</v>
      </c>
      <c r="F21" s="2">
        <v>0.69930555555555551</v>
      </c>
      <c r="G21" s="3">
        <v>7.7</v>
      </c>
      <c r="H21">
        <v>5</v>
      </c>
      <c r="I21" t="s">
        <v>15</v>
      </c>
      <c r="J21" t="s">
        <v>17</v>
      </c>
      <c r="K21" s="3">
        <f>MAX(0,Table1[[#This Row],[WorkHours]]-8)</f>
        <v>0</v>
      </c>
      <c r="L21" t="str">
        <f>IF(Table1[[#This Row],[LateMinutes]]&gt;0, "Late", "OnTime")</f>
        <v>Late</v>
      </c>
    </row>
    <row r="22" spans="1:12" x14ac:dyDescent="0.3">
      <c r="A22" t="s">
        <v>20</v>
      </c>
      <c r="B22" t="s">
        <v>21</v>
      </c>
      <c r="C22" t="s">
        <v>22</v>
      </c>
      <c r="D22" s="1">
        <v>45870</v>
      </c>
      <c r="E22" s="2">
        <v>0.3840277777777778</v>
      </c>
      <c r="F22" s="2">
        <v>0.74722222222222223</v>
      </c>
      <c r="G22" s="3">
        <v>8.7200000000000006</v>
      </c>
      <c r="H22">
        <v>13</v>
      </c>
      <c r="I22" t="s">
        <v>15</v>
      </c>
      <c r="J22" t="s">
        <v>17</v>
      </c>
      <c r="K22" s="3">
        <f>MAX(0,Table1[[#This Row],[WorkHours]]-8)</f>
        <v>0.72000000000000064</v>
      </c>
      <c r="L22" t="str">
        <f>IF(Table1[[#This Row],[LateMinutes]]&gt;0, "Late", "OnTime")</f>
        <v>Late</v>
      </c>
    </row>
    <row r="23" spans="1:12" x14ac:dyDescent="0.3">
      <c r="A23" t="s">
        <v>20</v>
      </c>
      <c r="B23" t="s">
        <v>21</v>
      </c>
      <c r="C23" t="s">
        <v>22</v>
      </c>
      <c r="D23" s="1">
        <v>45873</v>
      </c>
      <c r="E23" s="2">
        <v>0.36527777777777776</v>
      </c>
      <c r="F23" s="2">
        <v>0.67152777777777772</v>
      </c>
      <c r="G23" s="3">
        <v>7.35</v>
      </c>
      <c r="H23">
        <v>0</v>
      </c>
      <c r="I23" t="s">
        <v>15</v>
      </c>
      <c r="J23" t="s">
        <v>16</v>
      </c>
      <c r="K23" s="3">
        <f>MAX(0,Table1[[#This Row],[WorkHours]]-8)</f>
        <v>0</v>
      </c>
      <c r="L23" t="str">
        <f>IF(Table1[[#This Row],[LateMinutes]]&gt;0, "Late", "OnTime")</f>
        <v>OnTime</v>
      </c>
    </row>
    <row r="24" spans="1:12" x14ac:dyDescent="0.3">
      <c r="A24" t="s">
        <v>20</v>
      </c>
      <c r="B24" t="s">
        <v>21</v>
      </c>
      <c r="C24" t="s">
        <v>22</v>
      </c>
      <c r="D24" s="1">
        <v>45874</v>
      </c>
      <c r="E24" s="2">
        <v>0.38819444444444445</v>
      </c>
      <c r="F24" s="2">
        <v>0.70138888888888884</v>
      </c>
      <c r="G24" s="3">
        <v>7.52</v>
      </c>
      <c r="H24">
        <v>19</v>
      </c>
      <c r="I24" t="s">
        <v>15</v>
      </c>
      <c r="J24" t="s">
        <v>17</v>
      </c>
      <c r="K24" s="3">
        <f>MAX(0,Table1[[#This Row],[WorkHours]]-8)</f>
        <v>0</v>
      </c>
      <c r="L24" t="str">
        <f>IF(Table1[[#This Row],[LateMinutes]]&gt;0, "Late", "OnTime")</f>
        <v>Late</v>
      </c>
    </row>
    <row r="25" spans="1:12" x14ac:dyDescent="0.3">
      <c r="A25" t="s">
        <v>20</v>
      </c>
      <c r="B25" t="s">
        <v>21</v>
      </c>
      <c r="C25" t="s">
        <v>22</v>
      </c>
      <c r="D25" s="1">
        <v>45875</v>
      </c>
      <c r="E25" s="2">
        <v>0.3659722222222222</v>
      </c>
      <c r="F25" s="2">
        <v>0.72638888888888886</v>
      </c>
      <c r="G25" s="3">
        <v>8.65</v>
      </c>
      <c r="H25">
        <v>0</v>
      </c>
      <c r="I25" t="s">
        <v>15</v>
      </c>
      <c r="J25" t="s">
        <v>16</v>
      </c>
      <c r="K25" s="3">
        <f>MAX(0,Table1[[#This Row],[WorkHours]]-8)</f>
        <v>0.65000000000000036</v>
      </c>
      <c r="L25" t="str">
        <f>IF(Table1[[#This Row],[LateMinutes]]&gt;0, "Late", "OnTime")</f>
        <v>OnTime</v>
      </c>
    </row>
    <row r="26" spans="1:12" x14ac:dyDescent="0.3">
      <c r="A26" t="s">
        <v>20</v>
      </c>
      <c r="B26" t="s">
        <v>21</v>
      </c>
      <c r="C26" t="s">
        <v>22</v>
      </c>
      <c r="D26" s="1">
        <v>45876</v>
      </c>
      <c r="G26" s="3">
        <v>0</v>
      </c>
      <c r="H26">
        <v>0</v>
      </c>
      <c r="I26" t="s">
        <v>19</v>
      </c>
      <c r="J26" t="s">
        <v>16</v>
      </c>
      <c r="K26" s="3">
        <f>MAX(0,Table1[[#This Row],[WorkHours]]-8)</f>
        <v>0</v>
      </c>
      <c r="L26" t="str">
        <f>IF(Table1[[#This Row],[LateMinutes]]&gt;0, "Late", "OnTime")</f>
        <v>OnTime</v>
      </c>
    </row>
    <row r="27" spans="1:12" x14ac:dyDescent="0.3">
      <c r="A27" t="s">
        <v>20</v>
      </c>
      <c r="B27" t="s">
        <v>21</v>
      </c>
      <c r="C27" t="s">
        <v>22</v>
      </c>
      <c r="D27" s="1">
        <v>45877</v>
      </c>
      <c r="E27" s="2">
        <v>0.37569444444444444</v>
      </c>
      <c r="F27" s="2">
        <v>0.70972222222222225</v>
      </c>
      <c r="G27" s="3">
        <v>8.02</v>
      </c>
      <c r="H27">
        <v>1</v>
      </c>
      <c r="I27" t="s">
        <v>15</v>
      </c>
      <c r="J27" t="s">
        <v>16</v>
      </c>
      <c r="K27" s="3">
        <f>MAX(0,Table1[[#This Row],[WorkHours]]-8)</f>
        <v>1.9999999999999574E-2</v>
      </c>
      <c r="L27" t="str">
        <f>IF(Table1[[#This Row],[LateMinutes]]&gt;0, "Late", "OnTime")</f>
        <v>Late</v>
      </c>
    </row>
    <row r="28" spans="1:12" x14ac:dyDescent="0.3">
      <c r="A28" t="s">
        <v>20</v>
      </c>
      <c r="B28" t="s">
        <v>21</v>
      </c>
      <c r="C28" t="s">
        <v>22</v>
      </c>
      <c r="D28" s="1">
        <v>45880</v>
      </c>
      <c r="E28" s="2">
        <v>0.39305555555555555</v>
      </c>
      <c r="F28" s="2">
        <v>0.79166666666666663</v>
      </c>
      <c r="G28" s="3">
        <v>9.57</v>
      </c>
      <c r="H28">
        <v>26</v>
      </c>
      <c r="I28" t="s">
        <v>15</v>
      </c>
      <c r="J28" t="s">
        <v>17</v>
      </c>
      <c r="K28" s="3">
        <f>MAX(0,Table1[[#This Row],[WorkHours]]-8)</f>
        <v>1.5700000000000003</v>
      </c>
      <c r="L28" t="str">
        <f>IF(Table1[[#This Row],[LateMinutes]]&gt;0, "Late", "OnTime")</f>
        <v>Late</v>
      </c>
    </row>
    <row r="29" spans="1:12" x14ac:dyDescent="0.3">
      <c r="A29" t="s">
        <v>20</v>
      </c>
      <c r="B29" t="s">
        <v>21</v>
      </c>
      <c r="C29" t="s">
        <v>22</v>
      </c>
      <c r="D29" s="1">
        <v>45881</v>
      </c>
      <c r="E29" s="2">
        <v>0.38194444444444442</v>
      </c>
      <c r="F29" s="2">
        <v>0.69791666666666663</v>
      </c>
      <c r="G29" s="3">
        <v>7.58</v>
      </c>
      <c r="H29">
        <v>10</v>
      </c>
      <c r="I29" t="s">
        <v>15</v>
      </c>
      <c r="J29" t="s">
        <v>16</v>
      </c>
      <c r="K29" s="3">
        <f>MAX(0,Table1[[#This Row],[WorkHours]]-8)</f>
        <v>0</v>
      </c>
      <c r="L29" t="str">
        <f>IF(Table1[[#This Row],[LateMinutes]]&gt;0, "Late", "OnTime")</f>
        <v>Late</v>
      </c>
    </row>
    <row r="30" spans="1:12" x14ac:dyDescent="0.3">
      <c r="A30" t="s">
        <v>20</v>
      </c>
      <c r="B30" t="s">
        <v>21</v>
      </c>
      <c r="C30" t="s">
        <v>22</v>
      </c>
      <c r="D30" s="1">
        <v>45882</v>
      </c>
      <c r="E30" s="2">
        <v>0.36666666666666664</v>
      </c>
      <c r="F30" s="2">
        <v>0.72291666666666665</v>
      </c>
      <c r="G30" s="3">
        <v>8.5500000000000007</v>
      </c>
      <c r="H30">
        <v>0</v>
      </c>
      <c r="I30" t="s">
        <v>15</v>
      </c>
      <c r="J30" t="s">
        <v>18</v>
      </c>
      <c r="K30" s="3">
        <f>MAX(0,Table1[[#This Row],[WorkHours]]-8)</f>
        <v>0.55000000000000071</v>
      </c>
      <c r="L30" t="str">
        <f>IF(Table1[[#This Row],[LateMinutes]]&gt;0, "Late", "OnTime")</f>
        <v>OnTime</v>
      </c>
    </row>
    <row r="31" spans="1:12" x14ac:dyDescent="0.3">
      <c r="A31" t="s">
        <v>20</v>
      </c>
      <c r="B31" t="s">
        <v>21</v>
      </c>
      <c r="C31" t="s">
        <v>22</v>
      </c>
      <c r="D31" s="1">
        <v>45883</v>
      </c>
      <c r="E31" s="2">
        <v>0.39097222222222222</v>
      </c>
      <c r="F31" s="2">
        <v>0.75486111111111109</v>
      </c>
      <c r="G31" s="3">
        <v>8.73</v>
      </c>
      <c r="H31">
        <v>23</v>
      </c>
      <c r="I31" t="s">
        <v>15</v>
      </c>
      <c r="J31" t="s">
        <v>18</v>
      </c>
      <c r="K31" s="3">
        <f>MAX(0,Table1[[#This Row],[WorkHours]]-8)</f>
        <v>0.73000000000000043</v>
      </c>
      <c r="L31" t="str">
        <f>IF(Table1[[#This Row],[LateMinutes]]&gt;0, "Late", "OnTime")</f>
        <v>Late</v>
      </c>
    </row>
    <row r="32" spans="1:12" x14ac:dyDescent="0.3">
      <c r="A32" t="s">
        <v>20</v>
      </c>
      <c r="B32" t="s">
        <v>21</v>
      </c>
      <c r="C32" t="s">
        <v>22</v>
      </c>
      <c r="D32" s="1">
        <v>45884</v>
      </c>
      <c r="E32" s="2">
        <v>0.39305555555555555</v>
      </c>
      <c r="F32" s="2">
        <v>0.80625000000000002</v>
      </c>
      <c r="G32" s="3">
        <v>9.92</v>
      </c>
      <c r="H32">
        <v>26</v>
      </c>
      <c r="I32" t="s">
        <v>15</v>
      </c>
      <c r="J32" t="s">
        <v>17</v>
      </c>
      <c r="K32" s="3">
        <f>MAX(0,Table1[[#This Row],[WorkHours]]-8)</f>
        <v>1.92</v>
      </c>
      <c r="L32" t="str">
        <f>IF(Table1[[#This Row],[LateMinutes]]&gt;0, "Late", "OnTime")</f>
        <v>Late</v>
      </c>
    </row>
    <row r="33" spans="1:12" x14ac:dyDescent="0.3">
      <c r="A33" t="s">
        <v>20</v>
      </c>
      <c r="B33" t="s">
        <v>21</v>
      </c>
      <c r="C33" t="s">
        <v>22</v>
      </c>
      <c r="D33" s="1">
        <v>45887</v>
      </c>
      <c r="E33" s="2">
        <v>0.38055555555555554</v>
      </c>
      <c r="F33" s="2">
        <v>0.77083333333333337</v>
      </c>
      <c r="G33" s="3">
        <v>9.3699999999999992</v>
      </c>
      <c r="H33">
        <v>8</v>
      </c>
      <c r="I33" t="s">
        <v>15</v>
      </c>
      <c r="J33" t="s">
        <v>17</v>
      </c>
      <c r="K33" s="3">
        <f>MAX(0,Table1[[#This Row],[WorkHours]]-8)</f>
        <v>1.3699999999999992</v>
      </c>
      <c r="L33" t="str">
        <f>IF(Table1[[#This Row],[LateMinutes]]&gt;0, "Late", "OnTime")</f>
        <v>Late</v>
      </c>
    </row>
    <row r="34" spans="1:12" x14ac:dyDescent="0.3">
      <c r="A34" t="s">
        <v>20</v>
      </c>
      <c r="B34" t="s">
        <v>21</v>
      </c>
      <c r="C34" t="s">
        <v>22</v>
      </c>
      <c r="D34" s="1">
        <v>45888</v>
      </c>
      <c r="E34" s="2">
        <v>0.37708333333333333</v>
      </c>
      <c r="F34" s="2">
        <v>0.72361111111111109</v>
      </c>
      <c r="G34" s="3">
        <v>8.32</v>
      </c>
      <c r="H34">
        <v>3</v>
      </c>
      <c r="I34" t="s">
        <v>15</v>
      </c>
      <c r="J34" t="s">
        <v>17</v>
      </c>
      <c r="K34" s="3">
        <f>MAX(0,Table1[[#This Row],[WorkHours]]-8)</f>
        <v>0.32000000000000028</v>
      </c>
      <c r="L34" t="str">
        <f>IF(Table1[[#This Row],[LateMinutes]]&gt;0, "Late", "OnTime")</f>
        <v>Late</v>
      </c>
    </row>
    <row r="35" spans="1:12" x14ac:dyDescent="0.3">
      <c r="A35" t="s">
        <v>20</v>
      </c>
      <c r="B35" t="s">
        <v>21</v>
      </c>
      <c r="C35" t="s">
        <v>22</v>
      </c>
      <c r="D35" s="1">
        <v>45889</v>
      </c>
      <c r="E35" s="2">
        <v>0.3888888888888889</v>
      </c>
      <c r="F35" s="2">
        <v>0.70694444444444449</v>
      </c>
      <c r="G35" s="3">
        <v>7.63</v>
      </c>
      <c r="H35">
        <v>20</v>
      </c>
      <c r="I35" t="s">
        <v>15</v>
      </c>
      <c r="J35" t="s">
        <v>18</v>
      </c>
      <c r="K35" s="3">
        <f>MAX(0,Table1[[#This Row],[WorkHours]]-8)</f>
        <v>0</v>
      </c>
      <c r="L35" t="str">
        <f>IF(Table1[[#This Row],[LateMinutes]]&gt;0, "Late", "OnTime")</f>
        <v>Late</v>
      </c>
    </row>
    <row r="36" spans="1:12" x14ac:dyDescent="0.3">
      <c r="A36" t="s">
        <v>20</v>
      </c>
      <c r="B36" t="s">
        <v>21</v>
      </c>
      <c r="C36" t="s">
        <v>22</v>
      </c>
      <c r="D36" s="1">
        <v>45890</v>
      </c>
      <c r="E36" s="2">
        <v>0.37152777777777779</v>
      </c>
      <c r="F36" s="2">
        <v>0.7416666666666667</v>
      </c>
      <c r="G36" s="3">
        <v>8.8800000000000008</v>
      </c>
      <c r="H36">
        <v>0</v>
      </c>
      <c r="I36" t="s">
        <v>15</v>
      </c>
      <c r="J36" t="s">
        <v>17</v>
      </c>
      <c r="K36" s="3">
        <f>MAX(0,Table1[[#This Row],[WorkHours]]-8)</f>
        <v>0.88000000000000078</v>
      </c>
      <c r="L36" t="str">
        <f>IF(Table1[[#This Row],[LateMinutes]]&gt;0, "Late", "OnTime")</f>
        <v>OnTime</v>
      </c>
    </row>
    <row r="37" spans="1:12" x14ac:dyDescent="0.3">
      <c r="A37" t="s">
        <v>20</v>
      </c>
      <c r="B37" t="s">
        <v>21</v>
      </c>
      <c r="C37" t="s">
        <v>22</v>
      </c>
      <c r="D37" s="1">
        <v>45891</v>
      </c>
      <c r="G37" s="3">
        <v>0</v>
      </c>
      <c r="H37">
        <v>0</v>
      </c>
      <c r="I37" t="s">
        <v>19</v>
      </c>
      <c r="J37" t="s">
        <v>18</v>
      </c>
      <c r="K37" s="3">
        <f>MAX(0,Table1[[#This Row],[WorkHours]]-8)</f>
        <v>0</v>
      </c>
      <c r="L37" t="str">
        <f>IF(Table1[[#This Row],[LateMinutes]]&gt;0, "Late", "OnTime")</f>
        <v>OnTime</v>
      </c>
    </row>
    <row r="38" spans="1:12" x14ac:dyDescent="0.3">
      <c r="A38" t="s">
        <v>20</v>
      </c>
      <c r="B38" t="s">
        <v>21</v>
      </c>
      <c r="C38" t="s">
        <v>22</v>
      </c>
      <c r="D38" s="1">
        <v>45894</v>
      </c>
      <c r="E38" s="2">
        <v>0.39374999999999999</v>
      </c>
      <c r="F38" s="2">
        <v>0.69930555555555551</v>
      </c>
      <c r="G38" s="3">
        <v>7.33</v>
      </c>
      <c r="H38">
        <v>27</v>
      </c>
      <c r="I38" t="s">
        <v>15</v>
      </c>
      <c r="J38" t="s">
        <v>16</v>
      </c>
      <c r="K38" s="3">
        <f>MAX(0,Table1[[#This Row],[WorkHours]]-8)</f>
        <v>0</v>
      </c>
      <c r="L38" t="str">
        <f>IF(Table1[[#This Row],[LateMinutes]]&gt;0, "Late", "OnTime")</f>
        <v>Late</v>
      </c>
    </row>
    <row r="39" spans="1:12" x14ac:dyDescent="0.3">
      <c r="A39" t="s">
        <v>20</v>
      </c>
      <c r="B39" t="s">
        <v>21</v>
      </c>
      <c r="C39" t="s">
        <v>22</v>
      </c>
      <c r="D39" s="1">
        <v>45895</v>
      </c>
      <c r="E39" s="2">
        <v>0.3840277777777778</v>
      </c>
      <c r="F39" s="2">
        <v>0.72013888888888888</v>
      </c>
      <c r="G39" s="3">
        <v>8.07</v>
      </c>
      <c r="H39">
        <v>13</v>
      </c>
      <c r="I39" t="s">
        <v>15</v>
      </c>
      <c r="J39" t="s">
        <v>17</v>
      </c>
      <c r="K39" s="3">
        <f>MAX(0,Table1[[#This Row],[WorkHours]]-8)</f>
        <v>7.0000000000000284E-2</v>
      </c>
      <c r="L39" t="str">
        <f>IF(Table1[[#This Row],[LateMinutes]]&gt;0, "Late", "OnTime")</f>
        <v>Late</v>
      </c>
    </row>
    <row r="40" spans="1:12" x14ac:dyDescent="0.3">
      <c r="A40" t="s">
        <v>20</v>
      </c>
      <c r="B40" t="s">
        <v>21</v>
      </c>
      <c r="C40" t="s">
        <v>22</v>
      </c>
      <c r="D40" s="1">
        <v>45896</v>
      </c>
      <c r="E40" s="2">
        <v>0.38124999999999998</v>
      </c>
      <c r="F40" s="2">
        <v>0.72430555555555554</v>
      </c>
      <c r="G40" s="3">
        <v>8.23</v>
      </c>
      <c r="H40">
        <v>9</v>
      </c>
      <c r="I40" t="s">
        <v>15</v>
      </c>
      <c r="J40" t="s">
        <v>18</v>
      </c>
      <c r="K40" s="3">
        <f>MAX(0,Table1[[#This Row],[WorkHours]]-8)</f>
        <v>0.23000000000000043</v>
      </c>
      <c r="L40" t="str">
        <f>IF(Table1[[#This Row],[LateMinutes]]&gt;0, "Late", "OnTime")</f>
        <v>Late</v>
      </c>
    </row>
    <row r="41" spans="1:12" x14ac:dyDescent="0.3">
      <c r="A41" t="s">
        <v>20</v>
      </c>
      <c r="B41" t="s">
        <v>21</v>
      </c>
      <c r="C41" t="s">
        <v>22</v>
      </c>
      <c r="D41" s="1">
        <v>45897</v>
      </c>
      <c r="E41" s="2">
        <v>0.37152777777777779</v>
      </c>
      <c r="F41" s="2">
        <v>0.71805555555555556</v>
      </c>
      <c r="G41" s="3">
        <v>8.32</v>
      </c>
      <c r="H41">
        <v>0</v>
      </c>
      <c r="I41" t="s">
        <v>15</v>
      </c>
      <c r="J41" t="s">
        <v>16</v>
      </c>
      <c r="K41" s="3">
        <f>MAX(0,Table1[[#This Row],[WorkHours]]-8)</f>
        <v>0.32000000000000028</v>
      </c>
      <c r="L41" t="str">
        <f>IF(Table1[[#This Row],[LateMinutes]]&gt;0, "Late", "OnTime")</f>
        <v>OnTime</v>
      </c>
    </row>
    <row r="42" spans="1:12" x14ac:dyDescent="0.3">
      <c r="A42" t="s">
        <v>20</v>
      </c>
      <c r="B42" t="s">
        <v>21</v>
      </c>
      <c r="C42" t="s">
        <v>22</v>
      </c>
      <c r="D42" s="1">
        <v>45898</v>
      </c>
      <c r="E42" s="2">
        <v>0.38750000000000001</v>
      </c>
      <c r="F42" s="2">
        <v>0.72777777777777775</v>
      </c>
      <c r="G42" s="3">
        <v>8.17</v>
      </c>
      <c r="H42">
        <v>18</v>
      </c>
      <c r="I42" t="s">
        <v>15</v>
      </c>
      <c r="J42" t="s">
        <v>16</v>
      </c>
      <c r="K42" s="3">
        <f>MAX(0,Table1[[#This Row],[WorkHours]]-8)</f>
        <v>0.16999999999999993</v>
      </c>
      <c r="L42" t="str">
        <f>IF(Table1[[#This Row],[LateMinutes]]&gt;0, "Late", "OnTime")</f>
        <v>Late</v>
      </c>
    </row>
    <row r="43" spans="1:12" x14ac:dyDescent="0.3">
      <c r="A43" t="s">
        <v>23</v>
      </c>
      <c r="B43" t="s">
        <v>24</v>
      </c>
      <c r="C43" t="s">
        <v>25</v>
      </c>
      <c r="D43" s="1">
        <v>45870</v>
      </c>
      <c r="E43" s="2">
        <v>0.36944444444444446</v>
      </c>
      <c r="F43" s="2">
        <v>0.76875000000000004</v>
      </c>
      <c r="G43" s="3">
        <v>9.58</v>
      </c>
      <c r="H43">
        <v>0</v>
      </c>
      <c r="I43" t="s">
        <v>15</v>
      </c>
      <c r="J43" t="s">
        <v>16</v>
      </c>
      <c r="K43" s="3">
        <f>MAX(0,Table1[[#This Row],[WorkHours]]-8)</f>
        <v>1.58</v>
      </c>
      <c r="L43" t="str">
        <f>IF(Table1[[#This Row],[LateMinutes]]&gt;0, "Late", "OnTime")</f>
        <v>OnTime</v>
      </c>
    </row>
    <row r="44" spans="1:12" x14ac:dyDescent="0.3">
      <c r="A44" t="s">
        <v>23</v>
      </c>
      <c r="B44" t="s">
        <v>24</v>
      </c>
      <c r="C44" t="s">
        <v>25</v>
      </c>
      <c r="D44" s="1">
        <v>45873</v>
      </c>
      <c r="E44" s="2">
        <v>0.38750000000000001</v>
      </c>
      <c r="F44" s="2">
        <v>0.76458333333333328</v>
      </c>
      <c r="G44" s="3">
        <v>9.0500000000000007</v>
      </c>
      <c r="H44">
        <v>18</v>
      </c>
      <c r="I44" t="s">
        <v>15</v>
      </c>
      <c r="J44" t="s">
        <v>16</v>
      </c>
      <c r="K44" s="3">
        <f>MAX(0,Table1[[#This Row],[WorkHours]]-8)</f>
        <v>1.0500000000000007</v>
      </c>
      <c r="L44" t="str">
        <f>IF(Table1[[#This Row],[LateMinutes]]&gt;0, "Late", "OnTime")</f>
        <v>Late</v>
      </c>
    </row>
    <row r="45" spans="1:12" x14ac:dyDescent="0.3">
      <c r="A45" t="s">
        <v>23</v>
      </c>
      <c r="B45" t="s">
        <v>24</v>
      </c>
      <c r="C45" t="s">
        <v>25</v>
      </c>
      <c r="D45" s="1">
        <v>45874</v>
      </c>
      <c r="E45" s="2">
        <v>0.38333333333333336</v>
      </c>
      <c r="F45" s="2">
        <v>0.79166666666666663</v>
      </c>
      <c r="G45" s="3">
        <v>9.8000000000000007</v>
      </c>
      <c r="H45">
        <v>12</v>
      </c>
      <c r="I45" t="s">
        <v>15</v>
      </c>
      <c r="J45" t="s">
        <v>17</v>
      </c>
      <c r="K45" s="3">
        <f>MAX(0,Table1[[#This Row],[WorkHours]]-8)</f>
        <v>1.8000000000000007</v>
      </c>
      <c r="L45" t="str">
        <f>IF(Table1[[#This Row],[LateMinutes]]&gt;0, "Late", "OnTime")</f>
        <v>Late</v>
      </c>
    </row>
    <row r="46" spans="1:12" x14ac:dyDescent="0.3">
      <c r="A46" t="s">
        <v>23</v>
      </c>
      <c r="B46" t="s">
        <v>24</v>
      </c>
      <c r="C46" t="s">
        <v>25</v>
      </c>
      <c r="D46" s="1">
        <v>45875</v>
      </c>
      <c r="E46" s="2">
        <v>0.36875000000000002</v>
      </c>
      <c r="F46" s="2">
        <v>0.71736111111111112</v>
      </c>
      <c r="G46" s="3">
        <v>8.3699999999999992</v>
      </c>
      <c r="H46">
        <v>0</v>
      </c>
      <c r="I46" t="s">
        <v>15</v>
      </c>
      <c r="J46" t="s">
        <v>17</v>
      </c>
      <c r="K46" s="3">
        <f>MAX(0,Table1[[#This Row],[WorkHours]]-8)</f>
        <v>0.36999999999999922</v>
      </c>
      <c r="L46" t="str">
        <f>IF(Table1[[#This Row],[LateMinutes]]&gt;0, "Late", "OnTime")</f>
        <v>OnTime</v>
      </c>
    </row>
    <row r="47" spans="1:12" x14ac:dyDescent="0.3">
      <c r="A47" t="s">
        <v>23</v>
      </c>
      <c r="B47" t="s">
        <v>24</v>
      </c>
      <c r="C47" t="s">
        <v>25</v>
      </c>
      <c r="D47" s="1">
        <v>45876</v>
      </c>
      <c r="E47" s="2">
        <v>0.3923611111111111</v>
      </c>
      <c r="F47" s="2">
        <v>0.77013888888888893</v>
      </c>
      <c r="G47" s="3">
        <v>9.07</v>
      </c>
      <c r="H47">
        <v>25</v>
      </c>
      <c r="I47" t="s">
        <v>15</v>
      </c>
      <c r="J47" t="s">
        <v>17</v>
      </c>
      <c r="K47" s="3">
        <f>MAX(0,Table1[[#This Row],[WorkHours]]-8)</f>
        <v>1.0700000000000003</v>
      </c>
      <c r="L47" t="str">
        <f>IF(Table1[[#This Row],[LateMinutes]]&gt;0, "Late", "OnTime")</f>
        <v>Late</v>
      </c>
    </row>
    <row r="48" spans="1:12" x14ac:dyDescent="0.3">
      <c r="A48" t="s">
        <v>23</v>
      </c>
      <c r="B48" t="s">
        <v>24</v>
      </c>
      <c r="C48" t="s">
        <v>25</v>
      </c>
      <c r="D48" s="1">
        <v>45877</v>
      </c>
      <c r="E48" s="2">
        <v>0.38472222222222224</v>
      </c>
      <c r="F48" s="2">
        <v>0.77430555555555558</v>
      </c>
      <c r="G48" s="3">
        <v>9.35</v>
      </c>
      <c r="H48">
        <v>14</v>
      </c>
      <c r="I48" t="s">
        <v>15</v>
      </c>
      <c r="J48" t="s">
        <v>18</v>
      </c>
      <c r="K48" s="3">
        <f>MAX(0,Table1[[#This Row],[WorkHours]]-8)</f>
        <v>1.3499999999999996</v>
      </c>
      <c r="L48" t="str">
        <f>IF(Table1[[#This Row],[LateMinutes]]&gt;0, "Late", "OnTime")</f>
        <v>Late</v>
      </c>
    </row>
    <row r="49" spans="1:12" x14ac:dyDescent="0.3">
      <c r="A49" t="s">
        <v>23</v>
      </c>
      <c r="B49" t="s">
        <v>24</v>
      </c>
      <c r="C49" t="s">
        <v>25</v>
      </c>
      <c r="D49" s="1">
        <v>45880</v>
      </c>
      <c r="E49" s="2">
        <v>0.37916666666666665</v>
      </c>
      <c r="F49" s="2">
        <v>0.70625000000000004</v>
      </c>
      <c r="G49" s="3">
        <v>7.85</v>
      </c>
      <c r="H49">
        <v>6</v>
      </c>
      <c r="I49" t="s">
        <v>15</v>
      </c>
      <c r="J49" t="s">
        <v>17</v>
      </c>
      <c r="K49" s="3">
        <f>MAX(0,Table1[[#This Row],[WorkHours]]-8)</f>
        <v>0</v>
      </c>
      <c r="L49" t="str">
        <f>IF(Table1[[#This Row],[LateMinutes]]&gt;0, "Late", "OnTime")</f>
        <v>Late</v>
      </c>
    </row>
    <row r="50" spans="1:12" x14ac:dyDescent="0.3">
      <c r="A50" t="s">
        <v>23</v>
      </c>
      <c r="B50" t="s">
        <v>24</v>
      </c>
      <c r="C50" t="s">
        <v>25</v>
      </c>
      <c r="D50" s="1">
        <v>45881</v>
      </c>
      <c r="E50" s="2">
        <v>0.37152777777777779</v>
      </c>
      <c r="F50" s="2">
        <v>0.72291666666666665</v>
      </c>
      <c r="G50" s="3">
        <v>8.43</v>
      </c>
      <c r="H50">
        <v>0</v>
      </c>
      <c r="I50" t="s">
        <v>15</v>
      </c>
      <c r="J50" t="s">
        <v>16</v>
      </c>
      <c r="K50" s="3">
        <f>MAX(0,Table1[[#This Row],[WorkHours]]-8)</f>
        <v>0.42999999999999972</v>
      </c>
      <c r="L50" t="str">
        <f>IF(Table1[[#This Row],[LateMinutes]]&gt;0, "Late", "OnTime")</f>
        <v>OnTime</v>
      </c>
    </row>
    <row r="51" spans="1:12" x14ac:dyDescent="0.3">
      <c r="A51" t="s">
        <v>23</v>
      </c>
      <c r="B51" t="s">
        <v>24</v>
      </c>
      <c r="C51" t="s">
        <v>25</v>
      </c>
      <c r="D51" s="1">
        <v>45882</v>
      </c>
      <c r="E51" s="2">
        <v>0.36805555555555558</v>
      </c>
      <c r="F51" s="2">
        <v>0.68819444444444444</v>
      </c>
      <c r="G51" s="3">
        <v>7.68</v>
      </c>
      <c r="H51">
        <v>0</v>
      </c>
      <c r="I51" t="s">
        <v>15</v>
      </c>
      <c r="J51" t="s">
        <v>18</v>
      </c>
      <c r="K51" s="3">
        <f>MAX(0,Table1[[#This Row],[WorkHours]]-8)</f>
        <v>0</v>
      </c>
      <c r="L51" t="str">
        <f>IF(Table1[[#This Row],[LateMinutes]]&gt;0, "Late", "OnTime")</f>
        <v>OnTime</v>
      </c>
    </row>
    <row r="52" spans="1:12" x14ac:dyDescent="0.3">
      <c r="A52" t="s">
        <v>23</v>
      </c>
      <c r="B52" t="s">
        <v>24</v>
      </c>
      <c r="C52" t="s">
        <v>25</v>
      </c>
      <c r="D52" s="1">
        <v>45884</v>
      </c>
      <c r="E52" s="2">
        <v>0.38333333333333336</v>
      </c>
      <c r="F52" s="2">
        <v>0.70902777777777781</v>
      </c>
      <c r="G52" s="3">
        <v>7.82</v>
      </c>
      <c r="H52">
        <v>12</v>
      </c>
      <c r="I52" t="s">
        <v>15</v>
      </c>
      <c r="J52" t="s">
        <v>16</v>
      </c>
      <c r="K52" s="3">
        <f>MAX(0,Table1[[#This Row],[WorkHours]]-8)</f>
        <v>0</v>
      </c>
      <c r="L52" t="str">
        <f>IF(Table1[[#This Row],[LateMinutes]]&gt;0, "Late", "OnTime")</f>
        <v>Late</v>
      </c>
    </row>
    <row r="53" spans="1:12" x14ac:dyDescent="0.3">
      <c r="A53" t="s">
        <v>23</v>
      </c>
      <c r="B53" t="s">
        <v>24</v>
      </c>
      <c r="C53" t="s">
        <v>25</v>
      </c>
      <c r="D53" s="1">
        <v>45887</v>
      </c>
      <c r="E53" s="2">
        <v>0.38263888888888886</v>
      </c>
      <c r="F53" s="2">
        <v>0.78194444444444444</v>
      </c>
      <c r="G53" s="3">
        <v>9.58</v>
      </c>
      <c r="H53">
        <v>11</v>
      </c>
      <c r="I53" t="s">
        <v>15</v>
      </c>
      <c r="J53" t="s">
        <v>16</v>
      </c>
      <c r="K53" s="3">
        <f>MAX(0,Table1[[#This Row],[WorkHours]]-8)</f>
        <v>1.58</v>
      </c>
      <c r="L53" t="str">
        <f>IF(Table1[[#This Row],[LateMinutes]]&gt;0, "Late", "OnTime")</f>
        <v>Late</v>
      </c>
    </row>
    <row r="54" spans="1:12" x14ac:dyDescent="0.3">
      <c r="A54" t="s">
        <v>23</v>
      </c>
      <c r="B54" t="s">
        <v>24</v>
      </c>
      <c r="C54" t="s">
        <v>25</v>
      </c>
      <c r="D54" s="1">
        <v>45888</v>
      </c>
      <c r="E54" s="2">
        <v>0.37916666666666665</v>
      </c>
      <c r="F54" s="2">
        <v>0.73263888888888884</v>
      </c>
      <c r="G54" s="3">
        <v>8.48</v>
      </c>
      <c r="H54">
        <v>6</v>
      </c>
      <c r="I54" t="s">
        <v>15</v>
      </c>
      <c r="J54" t="s">
        <v>18</v>
      </c>
      <c r="K54" s="3">
        <f>MAX(0,Table1[[#This Row],[WorkHours]]-8)</f>
        <v>0.48000000000000043</v>
      </c>
      <c r="L54" t="str">
        <f>IF(Table1[[#This Row],[LateMinutes]]&gt;0, "Late", "OnTime")</f>
        <v>Late</v>
      </c>
    </row>
    <row r="55" spans="1:12" x14ac:dyDescent="0.3">
      <c r="A55" t="s">
        <v>23</v>
      </c>
      <c r="B55" t="s">
        <v>24</v>
      </c>
      <c r="C55" t="s">
        <v>25</v>
      </c>
      <c r="D55" s="1">
        <v>45889</v>
      </c>
      <c r="G55" s="3">
        <v>0</v>
      </c>
      <c r="H55">
        <v>0</v>
      </c>
      <c r="I55" t="s">
        <v>19</v>
      </c>
      <c r="J55" t="s">
        <v>18</v>
      </c>
      <c r="K55" s="3">
        <f>MAX(0,Table1[[#This Row],[WorkHours]]-8)</f>
        <v>0</v>
      </c>
      <c r="L55" t="str">
        <f>IF(Table1[[#This Row],[LateMinutes]]&gt;0, "Late", "OnTime")</f>
        <v>OnTime</v>
      </c>
    </row>
    <row r="56" spans="1:12" x14ac:dyDescent="0.3">
      <c r="A56" t="s">
        <v>23</v>
      </c>
      <c r="B56" t="s">
        <v>24</v>
      </c>
      <c r="C56" t="s">
        <v>25</v>
      </c>
      <c r="D56" s="1">
        <v>45890</v>
      </c>
      <c r="E56" s="2">
        <v>0.37638888888888888</v>
      </c>
      <c r="F56" s="2">
        <v>0.68402777777777779</v>
      </c>
      <c r="G56" s="3">
        <v>7.38</v>
      </c>
      <c r="H56">
        <v>2</v>
      </c>
      <c r="I56" t="s">
        <v>15</v>
      </c>
      <c r="J56" t="s">
        <v>16</v>
      </c>
      <c r="K56" s="3">
        <f>MAX(0,Table1[[#This Row],[WorkHours]]-8)</f>
        <v>0</v>
      </c>
      <c r="L56" t="str">
        <f>IF(Table1[[#This Row],[LateMinutes]]&gt;0, "Late", "OnTime")</f>
        <v>Late</v>
      </c>
    </row>
    <row r="57" spans="1:12" x14ac:dyDescent="0.3">
      <c r="A57" t="s">
        <v>23</v>
      </c>
      <c r="B57" t="s">
        <v>24</v>
      </c>
      <c r="C57" t="s">
        <v>25</v>
      </c>
      <c r="D57" s="1">
        <v>45891</v>
      </c>
      <c r="E57" s="2">
        <v>0.375</v>
      </c>
      <c r="F57" s="2">
        <v>0.73333333333333328</v>
      </c>
      <c r="G57" s="3">
        <v>8.6</v>
      </c>
      <c r="H57">
        <v>0</v>
      </c>
      <c r="I57" t="s">
        <v>15</v>
      </c>
      <c r="J57" t="s">
        <v>16</v>
      </c>
      <c r="K57" s="3">
        <f>MAX(0,Table1[[#This Row],[WorkHours]]-8)</f>
        <v>0.59999999999999964</v>
      </c>
      <c r="L57" t="str">
        <f>IF(Table1[[#This Row],[LateMinutes]]&gt;0, "Late", "OnTime")</f>
        <v>OnTime</v>
      </c>
    </row>
    <row r="58" spans="1:12" x14ac:dyDescent="0.3">
      <c r="A58" t="s">
        <v>23</v>
      </c>
      <c r="B58" t="s">
        <v>24</v>
      </c>
      <c r="C58" t="s">
        <v>25</v>
      </c>
      <c r="D58" s="1">
        <v>45894</v>
      </c>
      <c r="E58" s="2">
        <v>0.39444444444444443</v>
      </c>
      <c r="F58" s="2">
        <v>0.78680555555555554</v>
      </c>
      <c r="G58" s="3">
        <v>9.42</v>
      </c>
      <c r="H58">
        <v>28</v>
      </c>
      <c r="I58" t="s">
        <v>15</v>
      </c>
      <c r="J58" t="s">
        <v>18</v>
      </c>
      <c r="K58" s="3">
        <f>MAX(0,Table1[[#This Row],[WorkHours]]-8)</f>
        <v>1.42</v>
      </c>
      <c r="L58" t="str">
        <f>IF(Table1[[#This Row],[LateMinutes]]&gt;0, "Late", "OnTime")</f>
        <v>Late</v>
      </c>
    </row>
    <row r="59" spans="1:12" x14ac:dyDescent="0.3">
      <c r="A59" t="s">
        <v>23</v>
      </c>
      <c r="B59" t="s">
        <v>24</v>
      </c>
      <c r="C59" t="s">
        <v>25</v>
      </c>
      <c r="D59" s="1">
        <v>45895</v>
      </c>
      <c r="G59" s="3">
        <v>0</v>
      </c>
      <c r="H59">
        <v>0</v>
      </c>
      <c r="I59" t="s">
        <v>19</v>
      </c>
      <c r="J59" t="s">
        <v>16</v>
      </c>
      <c r="K59" s="3">
        <f>MAX(0,Table1[[#This Row],[WorkHours]]-8)</f>
        <v>0</v>
      </c>
      <c r="L59" t="str">
        <f>IF(Table1[[#This Row],[LateMinutes]]&gt;0, "Late", "OnTime")</f>
        <v>OnTime</v>
      </c>
    </row>
    <row r="60" spans="1:12" x14ac:dyDescent="0.3">
      <c r="A60" t="s">
        <v>23</v>
      </c>
      <c r="B60" t="s">
        <v>24</v>
      </c>
      <c r="C60" t="s">
        <v>25</v>
      </c>
      <c r="D60" s="1">
        <v>45896</v>
      </c>
      <c r="E60" s="2">
        <v>0.38124999999999998</v>
      </c>
      <c r="F60" s="2">
        <v>0.70486111111111116</v>
      </c>
      <c r="G60" s="3">
        <v>7.77</v>
      </c>
      <c r="H60">
        <v>9</v>
      </c>
      <c r="I60" t="s">
        <v>15</v>
      </c>
      <c r="J60" t="s">
        <v>17</v>
      </c>
      <c r="K60" s="3">
        <f>MAX(0,Table1[[#This Row],[WorkHours]]-8)</f>
        <v>0</v>
      </c>
      <c r="L60" t="str">
        <f>IF(Table1[[#This Row],[LateMinutes]]&gt;0, "Late", "OnTime")</f>
        <v>Late</v>
      </c>
    </row>
    <row r="61" spans="1:12" x14ac:dyDescent="0.3">
      <c r="A61" t="s">
        <v>23</v>
      </c>
      <c r="B61" t="s">
        <v>24</v>
      </c>
      <c r="C61" t="s">
        <v>25</v>
      </c>
      <c r="D61" s="1">
        <v>45897</v>
      </c>
      <c r="E61" s="2">
        <v>0.38958333333333334</v>
      </c>
      <c r="F61" s="2">
        <v>0.71319444444444446</v>
      </c>
      <c r="G61" s="3">
        <v>7.77</v>
      </c>
      <c r="H61">
        <v>21</v>
      </c>
      <c r="I61" t="s">
        <v>15</v>
      </c>
      <c r="J61" t="s">
        <v>16</v>
      </c>
      <c r="K61" s="3">
        <f>MAX(0,Table1[[#This Row],[WorkHours]]-8)</f>
        <v>0</v>
      </c>
      <c r="L61" t="str">
        <f>IF(Table1[[#This Row],[LateMinutes]]&gt;0, "Late", "OnTime")</f>
        <v>Late</v>
      </c>
    </row>
    <row r="62" spans="1:12" x14ac:dyDescent="0.3">
      <c r="A62" t="s">
        <v>23</v>
      </c>
      <c r="B62" t="s">
        <v>24</v>
      </c>
      <c r="C62" t="s">
        <v>25</v>
      </c>
      <c r="D62" s="1">
        <v>45898</v>
      </c>
      <c r="E62" s="2">
        <v>0.39166666666666666</v>
      </c>
      <c r="F62" s="2">
        <v>0.76527777777777772</v>
      </c>
      <c r="G62" s="3">
        <v>8.9700000000000006</v>
      </c>
      <c r="H62">
        <v>24</v>
      </c>
      <c r="I62" t="s">
        <v>15</v>
      </c>
      <c r="J62" t="s">
        <v>16</v>
      </c>
      <c r="K62" s="3">
        <f>MAX(0,Table1[[#This Row],[WorkHours]]-8)</f>
        <v>0.97000000000000064</v>
      </c>
      <c r="L62" t="str">
        <f>IF(Table1[[#This Row],[LateMinutes]]&gt;0, "Late", "OnTime")</f>
        <v>Late</v>
      </c>
    </row>
    <row r="63" spans="1:12" x14ac:dyDescent="0.3">
      <c r="A63" t="s">
        <v>26</v>
      </c>
      <c r="B63" t="s">
        <v>27</v>
      </c>
      <c r="C63" t="s">
        <v>28</v>
      </c>
      <c r="D63" s="1">
        <v>45870</v>
      </c>
      <c r="E63" s="2">
        <v>0.38958333333333334</v>
      </c>
      <c r="F63" s="2">
        <v>0.77152777777777781</v>
      </c>
      <c r="G63" s="3">
        <v>9.17</v>
      </c>
      <c r="H63">
        <v>21</v>
      </c>
      <c r="I63" t="s">
        <v>15</v>
      </c>
      <c r="J63" t="s">
        <v>16</v>
      </c>
      <c r="K63" s="3">
        <f>MAX(0,Table1[[#This Row],[WorkHours]]-8)</f>
        <v>1.17</v>
      </c>
      <c r="L63" t="str">
        <f>IF(Table1[[#This Row],[LateMinutes]]&gt;0, "Late", "OnTime")</f>
        <v>Late</v>
      </c>
    </row>
    <row r="64" spans="1:12" x14ac:dyDescent="0.3">
      <c r="A64" t="s">
        <v>26</v>
      </c>
      <c r="B64" t="s">
        <v>27</v>
      </c>
      <c r="C64" t="s">
        <v>28</v>
      </c>
      <c r="D64" s="1">
        <v>45873</v>
      </c>
      <c r="E64" s="2">
        <v>0.38055555555555554</v>
      </c>
      <c r="F64" s="2">
        <v>0.69930555555555551</v>
      </c>
      <c r="G64" s="3">
        <v>7.65</v>
      </c>
      <c r="H64">
        <v>8</v>
      </c>
      <c r="I64" t="s">
        <v>15</v>
      </c>
      <c r="J64" t="s">
        <v>16</v>
      </c>
      <c r="K64" s="3">
        <f>MAX(0,Table1[[#This Row],[WorkHours]]-8)</f>
        <v>0</v>
      </c>
      <c r="L64" t="str">
        <f>IF(Table1[[#This Row],[LateMinutes]]&gt;0, "Late", "OnTime")</f>
        <v>Late</v>
      </c>
    </row>
    <row r="65" spans="1:12" x14ac:dyDescent="0.3">
      <c r="A65" t="s">
        <v>26</v>
      </c>
      <c r="B65" t="s">
        <v>27</v>
      </c>
      <c r="C65" t="s">
        <v>28</v>
      </c>
      <c r="D65" s="1">
        <v>45874</v>
      </c>
      <c r="E65" s="2">
        <v>0.39097222222222222</v>
      </c>
      <c r="F65" s="2">
        <v>0.71180555555555558</v>
      </c>
      <c r="G65" s="3">
        <v>7.7</v>
      </c>
      <c r="H65">
        <v>23</v>
      </c>
      <c r="I65" t="s">
        <v>15</v>
      </c>
      <c r="J65" t="s">
        <v>17</v>
      </c>
      <c r="K65" s="3">
        <f>MAX(0,Table1[[#This Row],[WorkHours]]-8)</f>
        <v>0</v>
      </c>
      <c r="L65" t="str">
        <f>IF(Table1[[#This Row],[LateMinutes]]&gt;0, "Late", "OnTime")</f>
        <v>Late</v>
      </c>
    </row>
    <row r="66" spans="1:12" x14ac:dyDescent="0.3">
      <c r="A66" t="s">
        <v>26</v>
      </c>
      <c r="B66" t="s">
        <v>27</v>
      </c>
      <c r="C66" t="s">
        <v>28</v>
      </c>
      <c r="D66" s="1">
        <v>45875</v>
      </c>
      <c r="E66" s="2">
        <v>0.39097222222222222</v>
      </c>
      <c r="F66" s="2">
        <v>0.77986111111111112</v>
      </c>
      <c r="G66" s="3">
        <v>9.33</v>
      </c>
      <c r="H66">
        <v>23</v>
      </c>
      <c r="I66" t="s">
        <v>15</v>
      </c>
      <c r="J66" t="s">
        <v>18</v>
      </c>
      <c r="K66" s="3">
        <f>MAX(0,Table1[[#This Row],[WorkHours]]-8)</f>
        <v>1.33</v>
      </c>
      <c r="L66" t="str">
        <f>IF(Table1[[#This Row],[LateMinutes]]&gt;0, "Late", "OnTime")</f>
        <v>Late</v>
      </c>
    </row>
    <row r="67" spans="1:12" x14ac:dyDescent="0.3">
      <c r="A67" t="s">
        <v>26</v>
      </c>
      <c r="B67" t="s">
        <v>27</v>
      </c>
      <c r="C67" t="s">
        <v>28</v>
      </c>
      <c r="D67" s="1">
        <v>45876</v>
      </c>
      <c r="E67" s="2">
        <v>0.39305555555555555</v>
      </c>
      <c r="F67" s="2">
        <v>0.76458333333333328</v>
      </c>
      <c r="G67" s="3">
        <v>8.92</v>
      </c>
      <c r="H67">
        <v>26</v>
      </c>
      <c r="I67" t="s">
        <v>15</v>
      </c>
      <c r="J67" t="s">
        <v>18</v>
      </c>
      <c r="K67" s="3">
        <f>MAX(0,Table1[[#This Row],[WorkHours]]-8)</f>
        <v>0.91999999999999993</v>
      </c>
      <c r="L67" t="str">
        <f>IF(Table1[[#This Row],[LateMinutes]]&gt;0, "Late", "OnTime")</f>
        <v>Late</v>
      </c>
    </row>
    <row r="68" spans="1:12" x14ac:dyDescent="0.3">
      <c r="A68" t="s">
        <v>26</v>
      </c>
      <c r="B68" t="s">
        <v>27</v>
      </c>
      <c r="C68" t="s">
        <v>28</v>
      </c>
      <c r="D68" s="1">
        <v>45877</v>
      </c>
      <c r="E68" s="2">
        <v>0.36666666666666664</v>
      </c>
      <c r="F68" s="2">
        <v>0.76041666666666663</v>
      </c>
      <c r="G68" s="3">
        <v>9.4499999999999993</v>
      </c>
      <c r="H68">
        <v>0</v>
      </c>
      <c r="I68" t="s">
        <v>15</v>
      </c>
      <c r="J68" t="s">
        <v>17</v>
      </c>
      <c r="K68" s="3">
        <f>MAX(0,Table1[[#This Row],[WorkHours]]-8)</f>
        <v>1.4499999999999993</v>
      </c>
      <c r="L68" t="str">
        <f>IF(Table1[[#This Row],[LateMinutes]]&gt;0, "Late", "OnTime")</f>
        <v>OnTime</v>
      </c>
    </row>
    <row r="69" spans="1:12" x14ac:dyDescent="0.3">
      <c r="A69" t="s">
        <v>26</v>
      </c>
      <c r="B69" t="s">
        <v>27</v>
      </c>
      <c r="C69" t="s">
        <v>28</v>
      </c>
      <c r="D69" s="1">
        <v>45880</v>
      </c>
      <c r="E69" s="2">
        <v>0.36805555555555558</v>
      </c>
      <c r="F69" s="2">
        <v>0.74791666666666667</v>
      </c>
      <c r="G69" s="3">
        <v>9.1199999999999992</v>
      </c>
      <c r="H69">
        <v>0</v>
      </c>
      <c r="I69" t="s">
        <v>15</v>
      </c>
      <c r="J69" t="s">
        <v>17</v>
      </c>
      <c r="K69" s="3">
        <f>MAX(0,Table1[[#This Row],[WorkHours]]-8)</f>
        <v>1.1199999999999992</v>
      </c>
      <c r="L69" t="str">
        <f>IF(Table1[[#This Row],[LateMinutes]]&gt;0, "Late", "OnTime")</f>
        <v>OnTime</v>
      </c>
    </row>
    <row r="70" spans="1:12" x14ac:dyDescent="0.3">
      <c r="A70" t="s">
        <v>26</v>
      </c>
      <c r="B70" t="s">
        <v>27</v>
      </c>
      <c r="C70" t="s">
        <v>28</v>
      </c>
      <c r="D70" s="1">
        <v>45881</v>
      </c>
      <c r="G70" s="3">
        <v>0</v>
      </c>
      <c r="H70">
        <v>0</v>
      </c>
      <c r="I70" t="s">
        <v>19</v>
      </c>
      <c r="J70" t="s">
        <v>17</v>
      </c>
      <c r="K70" s="3">
        <f>MAX(0,Table1[[#This Row],[WorkHours]]-8)</f>
        <v>0</v>
      </c>
      <c r="L70" t="str">
        <f>IF(Table1[[#This Row],[LateMinutes]]&gt;0, "Late", "OnTime")</f>
        <v>OnTime</v>
      </c>
    </row>
    <row r="71" spans="1:12" x14ac:dyDescent="0.3">
      <c r="A71" t="s">
        <v>26</v>
      </c>
      <c r="B71" t="s">
        <v>27</v>
      </c>
      <c r="C71" t="s">
        <v>28</v>
      </c>
      <c r="D71" s="1">
        <v>45883</v>
      </c>
      <c r="E71" s="2">
        <v>0.36666666666666664</v>
      </c>
      <c r="F71" s="2">
        <v>0.74652777777777779</v>
      </c>
      <c r="G71" s="3">
        <v>9.1199999999999992</v>
      </c>
      <c r="H71">
        <v>0</v>
      </c>
      <c r="I71" t="s">
        <v>15</v>
      </c>
      <c r="J71" t="s">
        <v>17</v>
      </c>
      <c r="K71" s="3">
        <f>MAX(0,Table1[[#This Row],[WorkHours]]-8)</f>
        <v>1.1199999999999992</v>
      </c>
      <c r="L71" t="str">
        <f>IF(Table1[[#This Row],[LateMinutes]]&gt;0, "Late", "OnTime")</f>
        <v>OnTime</v>
      </c>
    </row>
    <row r="72" spans="1:12" x14ac:dyDescent="0.3">
      <c r="A72" t="s">
        <v>26</v>
      </c>
      <c r="B72" t="s">
        <v>27</v>
      </c>
      <c r="C72" t="s">
        <v>28</v>
      </c>
      <c r="D72" s="1">
        <v>45884</v>
      </c>
      <c r="E72" s="2">
        <v>0.37708333333333333</v>
      </c>
      <c r="F72" s="2">
        <v>0.67708333333333337</v>
      </c>
      <c r="G72" s="3">
        <v>7.2</v>
      </c>
      <c r="H72">
        <v>3</v>
      </c>
      <c r="I72" t="s">
        <v>15</v>
      </c>
      <c r="J72" t="s">
        <v>16</v>
      </c>
      <c r="K72" s="3">
        <f>MAX(0,Table1[[#This Row],[WorkHours]]-8)</f>
        <v>0</v>
      </c>
      <c r="L72" t="str">
        <f>IF(Table1[[#This Row],[LateMinutes]]&gt;0, "Late", "OnTime")</f>
        <v>Late</v>
      </c>
    </row>
    <row r="73" spans="1:12" x14ac:dyDescent="0.3">
      <c r="A73" t="s">
        <v>26</v>
      </c>
      <c r="B73" t="s">
        <v>27</v>
      </c>
      <c r="C73" t="s">
        <v>28</v>
      </c>
      <c r="D73" s="1">
        <v>45887</v>
      </c>
      <c r="G73" s="3">
        <v>0</v>
      </c>
      <c r="H73">
        <v>0</v>
      </c>
      <c r="I73" t="s">
        <v>19</v>
      </c>
      <c r="J73" t="s">
        <v>18</v>
      </c>
      <c r="K73" s="3">
        <f>MAX(0,Table1[[#This Row],[WorkHours]]-8)</f>
        <v>0</v>
      </c>
      <c r="L73" t="str">
        <f>IF(Table1[[#This Row],[LateMinutes]]&gt;0, "Late", "OnTime")</f>
        <v>OnTime</v>
      </c>
    </row>
    <row r="74" spans="1:12" x14ac:dyDescent="0.3">
      <c r="A74" t="s">
        <v>26</v>
      </c>
      <c r="B74" t="s">
        <v>27</v>
      </c>
      <c r="C74" t="s">
        <v>28</v>
      </c>
      <c r="D74" s="1">
        <v>45888</v>
      </c>
      <c r="E74" s="2">
        <v>0.38750000000000001</v>
      </c>
      <c r="F74" s="2">
        <v>0.6791666666666667</v>
      </c>
      <c r="G74" s="3">
        <v>7</v>
      </c>
      <c r="H74">
        <v>18</v>
      </c>
      <c r="I74" t="s">
        <v>15</v>
      </c>
      <c r="J74" t="s">
        <v>17</v>
      </c>
      <c r="K74" s="3">
        <f>MAX(0,Table1[[#This Row],[WorkHours]]-8)</f>
        <v>0</v>
      </c>
      <c r="L74" t="str">
        <f>IF(Table1[[#This Row],[LateMinutes]]&gt;0, "Late", "OnTime")</f>
        <v>Late</v>
      </c>
    </row>
    <row r="75" spans="1:12" x14ac:dyDescent="0.3">
      <c r="A75" t="s">
        <v>26</v>
      </c>
      <c r="B75" t="s">
        <v>27</v>
      </c>
      <c r="C75" t="s">
        <v>28</v>
      </c>
      <c r="D75" s="1">
        <v>45889</v>
      </c>
      <c r="E75" s="2">
        <v>0.38194444444444442</v>
      </c>
      <c r="F75" s="2">
        <v>0.7895833333333333</v>
      </c>
      <c r="G75" s="3">
        <v>9.7799999999999994</v>
      </c>
      <c r="H75">
        <v>10</v>
      </c>
      <c r="I75" t="s">
        <v>15</v>
      </c>
      <c r="J75" t="s">
        <v>18</v>
      </c>
      <c r="K75" s="3">
        <f>MAX(0,Table1[[#This Row],[WorkHours]]-8)</f>
        <v>1.7799999999999994</v>
      </c>
      <c r="L75" t="str">
        <f>IF(Table1[[#This Row],[LateMinutes]]&gt;0, "Late", "OnTime")</f>
        <v>Late</v>
      </c>
    </row>
    <row r="76" spans="1:12" x14ac:dyDescent="0.3">
      <c r="A76" t="s">
        <v>26</v>
      </c>
      <c r="B76" t="s">
        <v>27</v>
      </c>
      <c r="C76" t="s">
        <v>28</v>
      </c>
      <c r="D76" s="1">
        <v>45890</v>
      </c>
      <c r="E76" s="2">
        <v>0.39444444444444443</v>
      </c>
      <c r="F76" s="2">
        <v>0.74861111111111112</v>
      </c>
      <c r="G76" s="3">
        <v>8.5</v>
      </c>
      <c r="H76">
        <v>28</v>
      </c>
      <c r="I76" t="s">
        <v>15</v>
      </c>
      <c r="J76" t="s">
        <v>18</v>
      </c>
      <c r="K76" s="3">
        <f>MAX(0,Table1[[#This Row],[WorkHours]]-8)</f>
        <v>0.5</v>
      </c>
      <c r="L76" t="str">
        <f>IF(Table1[[#This Row],[LateMinutes]]&gt;0, "Late", "OnTime")</f>
        <v>Late</v>
      </c>
    </row>
    <row r="77" spans="1:12" x14ac:dyDescent="0.3">
      <c r="A77" t="s">
        <v>26</v>
      </c>
      <c r="B77" t="s">
        <v>27</v>
      </c>
      <c r="C77" t="s">
        <v>28</v>
      </c>
      <c r="D77" s="1">
        <v>45891</v>
      </c>
      <c r="E77" s="2">
        <v>0.3923611111111111</v>
      </c>
      <c r="F77" s="2">
        <v>0.78194444444444444</v>
      </c>
      <c r="G77" s="3">
        <v>9.35</v>
      </c>
      <c r="H77">
        <v>25</v>
      </c>
      <c r="I77" t="s">
        <v>15</v>
      </c>
      <c r="J77" t="s">
        <v>17</v>
      </c>
      <c r="K77" s="3">
        <f>MAX(0,Table1[[#This Row],[WorkHours]]-8)</f>
        <v>1.3499999999999996</v>
      </c>
      <c r="L77" t="str">
        <f>IF(Table1[[#This Row],[LateMinutes]]&gt;0, "Late", "OnTime")</f>
        <v>Late</v>
      </c>
    </row>
    <row r="78" spans="1:12" x14ac:dyDescent="0.3">
      <c r="A78" t="s">
        <v>26</v>
      </c>
      <c r="B78" t="s">
        <v>27</v>
      </c>
      <c r="C78" t="s">
        <v>28</v>
      </c>
      <c r="D78" s="1">
        <v>45894</v>
      </c>
      <c r="E78" s="2">
        <v>0.38333333333333336</v>
      </c>
      <c r="F78" s="2">
        <v>0.71250000000000002</v>
      </c>
      <c r="G78" s="3">
        <v>7.9</v>
      </c>
      <c r="H78">
        <v>12</v>
      </c>
      <c r="I78" t="s">
        <v>15</v>
      </c>
      <c r="J78" t="s">
        <v>18</v>
      </c>
      <c r="K78" s="3">
        <f>MAX(0,Table1[[#This Row],[WorkHours]]-8)</f>
        <v>0</v>
      </c>
      <c r="L78" t="str">
        <f>IF(Table1[[#This Row],[LateMinutes]]&gt;0, "Late", "OnTime")</f>
        <v>Late</v>
      </c>
    </row>
    <row r="79" spans="1:12" x14ac:dyDescent="0.3">
      <c r="A79" t="s">
        <v>26</v>
      </c>
      <c r="B79" t="s">
        <v>27</v>
      </c>
      <c r="C79" t="s">
        <v>28</v>
      </c>
      <c r="D79" s="1">
        <v>45895</v>
      </c>
      <c r="G79" s="3">
        <v>0</v>
      </c>
      <c r="H79">
        <v>0</v>
      </c>
      <c r="I79" t="s">
        <v>19</v>
      </c>
      <c r="J79" t="s">
        <v>17</v>
      </c>
      <c r="K79" s="3">
        <f>MAX(0,Table1[[#This Row],[WorkHours]]-8)</f>
        <v>0</v>
      </c>
      <c r="L79" t="str">
        <f>IF(Table1[[#This Row],[LateMinutes]]&gt;0, "Late", "OnTime")</f>
        <v>OnTime</v>
      </c>
    </row>
    <row r="80" spans="1:12" x14ac:dyDescent="0.3">
      <c r="A80" t="s">
        <v>26</v>
      </c>
      <c r="B80" t="s">
        <v>27</v>
      </c>
      <c r="C80" t="s">
        <v>28</v>
      </c>
      <c r="D80" s="1">
        <v>45896</v>
      </c>
      <c r="E80" s="2">
        <v>0.39305555555555555</v>
      </c>
      <c r="F80" s="2">
        <v>0.75069444444444444</v>
      </c>
      <c r="G80" s="3">
        <v>8.58</v>
      </c>
      <c r="H80">
        <v>26</v>
      </c>
      <c r="I80" t="s">
        <v>15</v>
      </c>
      <c r="J80" t="s">
        <v>16</v>
      </c>
      <c r="K80" s="3">
        <f>MAX(0,Table1[[#This Row],[WorkHours]]-8)</f>
        <v>0.58000000000000007</v>
      </c>
      <c r="L80" t="str">
        <f>IF(Table1[[#This Row],[LateMinutes]]&gt;0, "Late", "OnTime")</f>
        <v>Late</v>
      </c>
    </row>
    <row r="81" spans="1:12" x14ac:dyDescent="0.3">
      <c r="A81" t="s">
        <v>26</v>
      </c>
      <c r="B81" t="s">
        <v>27</v>
      </c>
      <c r="C81" t="s">
        <v>28</v>
      </c>
      <c r="D81" s="1">
        <v>45897</v>
      </c>
      <c r="G81" s="3">
        <v>0</v>
      </c>
      <c r="H81">
        <v>0</v>
      </c>
      <c r="I81" t="s">
        <v>19</v>
      </c>
      <c r="J81" t="s">
        <v>17</v>
      </c>
      <c r="K81" s="3">
        <f>MAX(0,Table1[[#This Row],[WorkHours]]-8)</f>
        <v>0</v>
      </c>
      <c r="L81" t="str">
        <f>IF(Table1[[#This Row],[LateMinutes]]&gt;0, "Late", "OnTime")</f>
        <v>OnTime</v>
      </c>
    </row>
    <row r="82" spans="1:12" x14ac:dyDescent="0.3">
      <c r="A82" t="s">
        <v>26</v>
      </c>
      <c r="B82" t="s">
        <v>27</v>
      </c>
      <c r="C82" t="s">
        <v>28</v>
      </c>
      <c r="D82" s="1">
        <v>45898</v>
      </c>
      <c r="G82" s="3">
        <v>0</v>
      </c>
      <c r="H82">
        <v>0</v>
      </c>
      <c r="I82" t="s">
        <v>19</v>
      </c>
      <c r="J82" t="s">
        <v>18</v>
      </c>
      <c r="K82" s="3">
        <f>MAX(0,Table1[[#This Row],[WorkHours]]-8)</f>
        <v>0</v>
      </c>
      <c r="L82" t="str">
        <f>IF(Table1[[#This Row],[LateMinutes]]&gt;0, "Late", "OnTime")</f>
        <v>OnTime</v>
      </c>
    </row>
    <row r="83" spans="1:12" x14ac:dyDescent="0.3">
      <c r="A83" t="s">
        <v>29</v>
      </c>
      <c r="B83" t="s">
        <v>30</v>
      </c>
      <c r="C83" t="s">
        <v>31</v>
      </c>
      <c r="D83" s="1">
        <v>45870</v>
      </c>
      <c r="E83" s="2">
        <v>0.38680555555555557</v>
      </c>
      <c r="F83" s="2">
        <v>0.72430555555555554</v>
      </c>
      <c r="G83" s="3">
        <v>8.1</v>
      </c>
      <c r="H83">
        <v>17</v>
      </c>
      <c r="I83" t="s">
        <v>15</v>
      </c>
      <c r="J83" t="s">
        <v>18</v>
      </c>
      <c r="K83" s="3">
        <f>MAX(0,Table1[[#This Row],[WorkHours]]-8)</f>
        <v>9.9999999999999645E-2</v>
      </c>
      <c r="L83" t="str">
        <f>IF(Table1[[#This Row],[LateMinutes]]&gt;0, "Late", "OnTime")</f>
        <v>Late</v>
      </c>
    </row>
    <row r="84" spans="1:12" x14ac:dyDescent="0.3">
      <c r="A84" t="s">
        <v>29</v>
      </c>
      <c r="B84" t="s">
        <v>30</v>
      </c>
      <c r="C84" t="s">
        <v>31</v>
      </c>
      <c r="D84" s="1">
        <v>45873</v>
      </c>
      <c r="E84" s="2">
        <v>0.37013888888888891</v>
      </c>
      <c r="F84" s="2">
        <v>0.68680555555555556</v>
      </c>
      <c r="G84" s="3">
        <v>7.6</v>
      </c>
      <c r="H84">
        <v>0</v>
      </c>
      <c r="I84" t="s">
        <v>15</v>
      </c>
      <c r="J84" t="s">
        <v>18</v>
      </c>
      <c r="K84" s="3">
        <f>MAX(0,Table1[[#This Row],[WorkHours]]-8)</f>
        <v>0</v>
      </c>
      <c r="L84" t="str">
        <f>IF(Table1[[#This Row],[LateMinutes]]&gt;0, "Late", "OnTime")</f>
        <v>OnTime</v>
      </c>
    </row>
    <row r="85" spans="1:12" x14ac:dyDescent="0.3">
      <c r="A85" t="s">
        <v>29</v>
      </c>
      <c r="B85" t="s">
        <v>30</v>
      </c>
      <c r="C85" t="s">
        <v>31</v>
      </c>
      <c r="D85" s="1">
        <v>45874</v>
      </c>
      <c r="E85" s="2">
        <v>0.36458333333333331</v>
      </c>
      <c r="F85" s="2">
        <v>0.69861111111111107</v>
      </c>
      <c r="G85" s="3">
        <v>8.02</v>
      </c>
      <c r="H85">
        <v>0</v>
      </c>
      <c r="I85" t="s">
        <v>15</v>
      </c>
      <c r="J85" t="s">
        <v>18</v>
      </c>
      <c r="K85" s="3">
        <f>MAX(0,Table1[[#This Row],[WorkHours]]-8)</f>
        <v>1.9999999999999574E-2</v>
      </c>
      <c r="L85" t="str">
        <f>IF(Table1[[#This Row],[LateMinutes]]&gt;0, "Late", "OnTime")</f>
        <v>OnTime</v>
      </c>
    </row>
    <row r="86" spans="1:12" x14ac:dyDescent="0.3">
      <c r="A86" t="s">
        <v>29</v>
      </c>
      <c r="B86" t="s">
        <v>30</v>
      </c>
      <c r="C86" t="s">
        <v>31</v>
      </c>
      <c r="D86" s="1">
        <v>45875</v>
      </c>
      <c r="E86" s="2">
        <v>0.38472222222222224</v>
      </c>
      <c r="F86" s="2">
        <v>0.67777777777777781</v>
      </c>
      <c r="G86" s="3">
        <v>7.03</v>
      </c>
      <c r="H86">
        <v>14</v>
      </c>
      <c r="I86" t="s">
        <v>15</v>
      </c>
      <c r="J86" t="s">
        <v>16</v>
      </c>
      <c r="K86" s="3">
        <f>MAX(0,Table1[[#This Row],[WorkHours]]-8)</f>
        <v>0</v>
      </c>
      <c r="L86" t="str">
        <f>IF(Table1[[#This Row],[LateMinutes]]&gt;0, "Late", "OnTime")</f>
        <v>Late</v>
      </c>
    </row>
    <row r="87" spans="1:12" x14ac:dyDescent="0.3">
      <c r="A87" t="s">
        <v>29</v>
      </c>
      <c r="B87" t="s">
        <v>30</v>
      </c>
      <c r="C87" t="s">
        <v>31</v>
      </c>
      <c r="D87" s="1">
        <v>45876</v>
      </c>
      <c r="E87" s="2">
        <v>0.38055555555555554</v>
      </c>
      <c r="F87" s="2">
        <v>0.73124999999999996</v>
      </c>
      <c r="G87" s="3">
        <v>8.42</v>
      </c>
      <c r="H87">
        <v>8</v>
      </c>
      <c r="I87" t="s">
        <v>15</v>
      </c>
      <c r="J87" t="s">
        <v>18</v>
      </c>
      <c r="K87" s="3">
        <f>MAX(0,Table1[[#This Row],[WorkHours]]-8)</f>
        <v>0.41999999999999993</v>
      </c>
      <c r="L87" t="str">
        <f>IF(Table1[[#This Row],[LateMinutes]]&gt;0, "Late", "OnTime")</f>
        <v>Late</v>
      </c>
    </row>
    <row r="88" spans="1:12" x14ac:dyDescent="0.3">
      <c r="A88" t="s">
        <v>29</v>
      </c>
      <c r="B88" t="s">
        <v>30</v>
      </c>
      <c r="C88" t="s">
        <v>31</v>
      </c>
      <c r="D88" s="1">
        <v>45877</v>
      </c>
      <c r="E88" s="2">
        <v>0.36805555555555558</v>
      </c>
      <c r="F88" s="2">
        <v>0.73472222222222228</v>
      </c>
      <c r="G88" s="3">
        <v>8.8000000000000007</v>
      </c>
      <c r="H88">
        <v>0</v>
      </c>
      <c r="I88" t="s">
        <v>15</v>
      </c>
      <c r="J88" t="s">
        <v>18</v>
      </c>
      <c r="K88" s="3">
        <f>MAX(0,Table1[[#This Row],[WorkHours]]-8)</f>
        <v>0.80000000000000071</v>
      </c>
      <c r="L88" t="str">
        <f>IF(Table1[[#This Row],[LateMinutes]]&gt;0, "Late", "OnTime")</f>
        <v>OnTime</v>
      </c>
    </row>
    <row r="89" spans="1:12" x14ac:dyDescent="0.3">
      <c r="A89" t="s">
        <v>29</v>
      </c>
      <c r="B89" t="s">
        <v>30</v>
      </c>
      <c r="C89" t="s">
        <v>31</v>
      </c>
      <c r="D89" s="1">
        <v>45880</v>
      </c>
      <c r="E89" s="2">
        <v>0.38124999999999998</v>
      </c>
      <c r="F89" s="2">
        <v>0.72638888888888886</v>
      </c>
      <c r="G89" s="3">
        <v>8.2799999999999994</v>
      </c>
      <c r="H89">
        <v>9</v>
      </c>
      <c r="I89" t="s">
        <v>15</v>
      </c>
      <c r="J89" t="s">
        <v>16</v>
      </c>
      <c r="K89" s="3">
        <f>MAX(0,Table1[[#This Row],[WorkHours]]-8)</f>
        <v>0.27999999999999936</v>
      </c>
      <c r="L89" t="str">
        <f>IF(Table1[[#This Row],[LateMinutes]]&gt;0, "Late", "OnTime")</f>
        <v>Late</v>
      </c>
    </row>
    <row r="90" spans="1:12" x14ac:dyDescent="0.3">
      <c r="A90" t="s">
        <v>29</v>
      </c>
      <c r="B90" t="s">
        <v>30</v>
      </c>
      <c r="C90" t="s">
        <v>31</v>
      </c>
      <c r="D90" s="1">
        <v>45881</v>
      </c>
      <c r="E90" s="2">
        <v>0.37708333333333333</v>
      </c>
      <c r="F90" s="2">
        <v>0.75486111111111109</v>
      </c>
      <c r="G90" s="3">
        <v>9.07</v>
      </c>
      <c r="H90">
        <v>3</v>
      </c>
      <c r="I90" t="s">
        <v>15</v>
      </c>
      <c r="J90" t="s">
        <v>17</v>
      </c>
      <c r="K90" s="3">
        <f>MAX(0,Table1[[#This Row],[WorkHours]]-8)</f>
        <v>1.0700000000000003</v>
      </c>
      <c r="L90" t="str">
        <f>IF(Table1[[#This Row],[LateMinutes]]&gt;0, "Late", "OnTime")</f>
        <v>Late</v>
      </c>
    </row>
    <row r="91" spans="1:12" x14ac:dyDescent="0.3">
      <c r="A91" t="s">
        <v>29</v>
      </c>
      <c r="B91" t="s">
        <v>30</v>
      </c>
      <c r="C91" t="s">
        <v>31</v>
      </c>
      <c r="D91" s="1">
        <v>45883</v>
      </c>
      <c r="E91" s="2">
        <v>0.36805555555555558</v>
      </c>
      <c r="F91" s="2">
        <v>0.77152777777777781</v>
      </c>
      <c r="G91" s="3">
        <v>9.68</v>
      </c>
      <c r="H91">
        <v>0</v>
      </c>
      <c r="I91" t="s">
        <v>15</v>
      </c>
      <c r="J91" t="s">
        <v>16</v>
      </c>
      <c r="K91" s="3">
        <f>MAX(0,Table1[[#This Row],[WorkHours]]-8)</f>
        <v>1.6799999999999997</v>
      </c>
      <c r="L91" t="str">
        <f>IF(Table1[[#This Row],[LateMinutes]]&gt;0, "Late", "OnTime")</f>
        <v>OnTime</v>
      </c>
    </row>
    <row r="92" spans="1:12" x14ac:dyDescent="0.3">
      <c r="A92" t="s">
        <v>29</v>
      </c>
      <c r="B92" t="s">
        <v>30</v>
      </c>
      <c r="C92" t="s">
        <v>31</v>
      </c>
      <c r="D92" s="1">
        <v>45884</v>
      </c>
      <c r="E92" s="2">
        <v>0.38472222222222224</v>
      </c>
      <c r="F92" s="2">
        <v>0.69097222222222221</v>
      </c>
      <c r="G92" s="3">
        <v>7.35</v>
      </c>
      <c r="H92">
        <v>14</v>
      </c>
      <c r="I92" t="s">
        <v>15</v>
      </c>
      <c r="J92" t="s">
        <v>16</v>
      </c>
      <c r="K92" s="3">
        <f>MAX(0,Table1[[#This Row],[WorkHours]]-8)</f>
        <v>0</v>
      </c>
      <c r="L92" t="str">
        <f>IF(Table1[[#This Row],[LateMinutes]]&gt;0, "Late", "OnTime")</f>
        <v>Late</v>
      </c>
    </row>
    <row r="93" spans="1:12" x14ac:dyDescent="0.3">
      <c r="A93" t="s">
        <v>29</v>
      </c>
      <c r="B93" t="s">
        <v>30</v>
      </c>
      <c r="C93" t="s">
        <v>31</v>
      </c>
      <c r="D93" s="1">
        <v>45887</v>
      </c>
      <c r="G93" s="3">
        <v>0</v>
      </c>
      <c r="H93">
        <v>0</v>
      </c>
      <c r="I93" t="s">
        <v>19</v>
      </c>
      <c r="J93" t="s">
        <v>16</v>
      </c>
      <c r="K93" s="3">
        <f>MAX(0,Table1[[#This Row],[WorkHours]]-8)</f>
        <v>0</v>
      </c>
      <c r="L93" t="str">
        <f>IF(Table1[[#This Row],[LateMinutes]]&gt;0, "Late", "OnTime")</f>
        <v>OnTime</v>
      </c>
    </row>
    <row r="94" spans="1:12" x14ac:dyDescent="0.3">
      <c r="A94" t="s">
        <v>29</v>
      </c>
      <c r="B94" t="s">
        <v>30</v>
      </c>
      <c r="C94" t="s">
        <v>31</v>
      </c>
      <c r="D94" s="1">
        <v>45888</v>
      </c>
      <c r="E94" s="2">
        <v>0.38333333333333336</v>
      </c>
      <c r="F94" s="2">
        <v>0.6875</v>
      </c>
      <c r="G94" s="3">
        <v>7.3</v>
      </c>
      <c r="H94">
        <v>12</v>
      </c>
      <c r="I94" t="s">
        <v>15</v>
      </c>
      <c r="J94" t="s">
        <v>18</v>
      </c>
      <c r="K94" s="3">
        <f>MAX(0,Table1[[#This Row],[WorkHours]]-8)</f>
        <v>0</v>
      </c>
      <c r="L94" t="str">
        <f>IF(Table1[[#This Row],[LateMinutes]]&gt;0, "Late", "OnTime")</f>
        <v>Late</v>
      </c>
    </row>
    <row r="95" spans="1:12" x14ac:dyDescent="0.3">
      <c r="A95" t="s">
        <v>29</v>
      </c>
      <c r="B95" t="s">
        <v>30</v>
      </c>
      <c r="C95" t="s">
        <v>31</v>
      </c>
      <c r="D95" s="1">
        <v>45889</v>
      </c>
      <c r="E95" s="2">
        <v>0.36666666666666664</v>
      </c>
      <c r="F95" s="2">
        <v>0.66874999999999996</v>
      </c>
      <c r="G95" s="3">
        <v>7.25</v>
      </c>
      <c r="H95">
        <v>0</v>
      </c>
      <c r="I95" t="s">
        <v>15</v>
      </c>
      <c r="J95" t="s">
        <v>18</v>
      </c>
      <c r="K95" s="3">
        <f>MAX(0,Table1[[#This Row],[WorkHours]]-8)</f>
        <v>0</v>
      </c>
      <c r="L95" t="str">
        <f>IF(Table1[[#This Row],[LateMinutes]]&gt;0, "Late", "OnTime")</f>
        <v>OnTime</v>
      </c>
    </row>
    <row r="96" spans="1:12" x14ac:dyDescent="0.3">
      <c r="A96" t="s">
        <v>29</v>
      </c>
      <c r="B96" t="s">
        <v>30</v>
      </c>
      <c r="C96" t="s">
        <v>31</v>
      </c>
      <c r="D96" s="1">
        <v>45890</v>
      </c>
      <c r="E96" s="2">
        <v>0.37986111111111109</v>
      </c>
      <c r="F96" s="2">
        <v>0.67222222222222228</v>
      </c>
      <c r="G96" s="3">
        <v>7.02</v>
      </c>
      <c r="H96">
        <v>7</v>
      </c>
      <c r="I96" t="s">
        <v>15</v>
      </c>
      <c r="J96" t="s">
        <v>17</v>
      </c>
      <c r="K96" s="3">
        <f>MAX(0,Table1[[#This Row],[WorkHours]]-8)</f>
        <v>0</v>
      </c>
      <c r="L96" t="str">
        <f>IF(Table1[[#This Row],[LateMinutes]]&gt;0, "Late", "OnTime")</f>
        <v>Late</v>
      </c>
    </row>
    <row r="97" spans="1:12" x14ac:dyDescent="0.3">
      <c r="A97" t="s">
        <v>29</v>
      </c>
      <c r="B97" t="s">
        <v>30</v>
      </c>
      <c r="C97" t="s">
        <v>31</v>
      </c>
      <c r="D97" s="1">
        <v>45891</v>
      </c>
      <c r="E97" s="2">
        <v>0.38611111111111113</v>
      </c>
      <c r="F97" s="2">
        <v>0.76458333333333328</v>
      </c>
      <c r="G97" s="3">
        <v>9.08</v>
      </c>
      <c r="H97">
        <v>16</v>
      </c>
      <c r="I97" t="s">
        <v>15</v>
      </c>
      <c r="J97" t="s">
        <v>17</v>
      </c>
      <c r="K97" s="3">
        <f>MAX(0,Table1[[#This Row],[WorkHours]]-8)</f>
        <v>1.08</v>
      </c>
      <c r="L97" t="str">
        <f>IF(Table1[[#This Row],[LateMinutes]]&gt;0, "Late", "OnTime")</f>
        <v>Late</v>
      </c>
    </row>
    <row r="98" spans="1:12" x14ac:dyDescent="0.3">
      <c r="A98" t="s">
        <v>29</v>
      </c>
      <c r="B98" t="s">
        <v>30</v>
      </c>
      <c r="C98" t="s">
        <v>31</v>
      </c>
      <c r="D98" s="1">
        <v>45894</v>
      </c>
      <c r="E98" s="2">
        <v>0.375</v>
      </c>
      <c r="F98" s="2">
        <v>0.70277777777777772</v>
      </c>
      <c r="G98" s="3">
        <v>7.87</v>
      </c>
      <c r="H98">
        <v>0</v>
      </c>
      <c r="I98" t="s">
        <v>15</v>
      </c>
      <c r="J98" t="s">
        <v>17</v>
      </c>
      <c r="K98" s="3">
        <f>MAX(0,Table1[[#This Row],[WorkHours]]-8)</f>
        <v>0</v>
      </c>
      <c r="L98" t="str">
        <f>IF(Table1[[#This Row],[LateMinutes]]&gt;0, "Late", "OnTime")</f>
        <v>OnTime</v>
      </c>
    </row>
    <row r="99" spans="1:12" x14ac:dyDescent="0.3">
      <c r="A99" t="s">
        <v>29</v>
      </c>
      <c r="B99" t="s">
        <v>30</v>
      </c>
      <c r="C99" t="s">
        <v>31</v>
      </c>
      <c r="D99" s="1">
        <v>45895</v>
      </c>
      <c r="E99" s="2">
        <v>0.36944444444444446</v>
      </c>
      <c r="F99" s="2">
        <v>0.73263888888888884</v>
      </c>
      <c r="G99" s="3">
        <v>8.7200000000000006</v>
      </c>
      <c r="H99">
        <v>0</v>
      </c>
      <c r="I99" t="s">
        <v>15</v>
      </c>
      <c r="J99" t="s">
        <v>17</v>
      </c>
      <c r="K99" s="3">
        <f>MAX(0,Table1[[#This Row],[WorkHours]]-8)</f>
        <v>0.72000000000000064</v>
      </c>
      <c r="L99" t="str">
        <f>IF(Table1[[#This Row],[LateMinutes]]&gt;0, "Late", "OnTime")</f>
        <v>OnTime</v>
      </c>
    </row>
    <row r="100" spans="1:12" x14ac:dyDescent="0.3">
      <c r="A100" t="s">
        <v>29</v>
      </c>
      <c r="B100" t="s">
        <v>30</v>
      </c>
      <c r="C100" t="s">
        <v>31</v>
      </c>
      <c r="D100" s="1">
        <v>45897</v>
      </c>
      <c r="E100" s="2">
        <v>0.39305555555555555</v>
      </c>
      <c r="F100" s="2">
        <v>0.72361111111111109</v>
      </c>
      <c r="G100" s="3">
        <v>7.93</v>
      </c>
      <c r="H100">
        <v>26</v>
      </c>
      <c r="I100" t="s">
        <v>15</v>
      </c>
      <c r="J100" t="s">
        <v>16</v>
      </c>
      <c r="K100" s="3">
        <f>MAX(0,Table1[[#This Row],[WorkHours]]-8)</f>
        <v>0</v>
      </c>
      <c r="L100" t="str">
        <f>IF(Table1[[#This Row],[LateMinutes]]&gt;0, "Late", "OnTime")</f>
        <v>Late</v>
      </c>
    </row>
    <row r="101" spans="1:12" x14ac:dyDescent="0.3">
      <c r="A101" t="s">
        <v>29</v>
      </c>
      <c r="B101" t="s">
        <v>30</v>
      </c>
      <c r="C101" t="s">
        <v>31</v>
      </c>
      <c r="D101" s="1">
        <v>45898</v>
      </c>
      <c r="E101" s="2">
        <v>0.38263888888888886</v>
      </c>
      <c r="F101" s="2">
        <v>0.75208333333333333</v>
      </c>
      <c r="G101" s="3">
        <v>8.8699999999999992</v>
      </c>
      <c r="H101">
        <v>11</v>
      </c>
      <c r="I101" t="s">
        <v>15</v>
      </c>
      <c r="J101" t="s">
        <v>17</v>
      </c>
      <c r="K101" s="3">
        <f>MAX(0,Table1[[#This Row],[WorkHours]]-8)</f>
        <v>0.86999999999999922</v>
      </c>
      <c r="L101" t="str">
        <f>IF(Table1[[#This Row],[LateMinutes]]&gt;0, "Late", "OnTime")</f>
        <v>Late</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FA4F2-0E25-4310-A50A-E38660BFCD49}">
  <sheetPr codeName="Sheet2"/>
  <dimension ref="A2:L19"/>
  <sheetViews>
    <sheetView showGridLines="0" workbookViewId="0">
      <selection activeCell="A11" sqref="A11:C11"/>
    </sheetView>
  </sheetViews>
  <sheetFormatPr defaultColWidth="9.88671875" defaultRowHeight="14.4" x14ac:dyDescent="0.3"/>
  <cols>
    <col min="1" max="1" width="19.109375" bestFit="1" customWidth="1"/>
    <col min="2" max="2" width="18.33203125" bestFit="1" customWidth="1"/>
    <col min="3" max="3" width="7.33203125" bestFit="1" customWidth="1"/>
    <col min="4" max="4" width="15.5546875" bestFit="1" customWidth="1"/>
    <col min="5" max="5" width="10.77734375" bestFit="1" customWidth="1"/>
    <col min="6" max="6" width="19.109375" bestFit="1" customWidth="1"/>
    <col min="7" max="7" width="12" bestFit="1" customWidth="1"/>
    <col min="8" max="8" width="12.5546875" bestFit="1" customWidth="1"/>
    <col min="9" max="9" width="19.77734375" bestFit="1" customWidth="1"/>
    <col min="10" max="10" width="15.5546875" bestFit="1" customWidth="1"/>
    <col min="11" max="11" width="19.109375" bestFit="1" customWidth="1"/>
    <col min="12" max="12" width="15.5546875" bestFit="1" customWidth="1"/>
    <col min="13" max="13" width="10.77734375" bestFit="1" customWidth="1"/>
    <col min="14" max="14" width="20.44140625" customWidth="1"/>
    <col min="15" max="20" width="2" bestFit="1" customWidth="1"/>
    <col min="21" max="21" width="19.5546875" customWidth="1"/>
    <col min="22" max="22" width="15.33203125" customWidth="1"/>
    <col min="23" max="24" width="3" bestFit="1" customWidth="1"/>
    <col min="25" max="25" width="11.5546875" bestFit="1" customWidth="1"/>
    <col min="26" max="26" width="19.6640625" bestFit="1" customWidth="1"/>
    <col min="27" max="27" width="10.5546875" bestFit="1" customWidth="1"/>
    <col min="28" max="28" width="7.88671875" bestFit="1" customWidth="1"/>
    <col min="29" max="29" width="11.44140625" bestFit="1" customWidth="1"/>
    <col min="30" max="40" width="3" bestFit="1" customWidth="1"/>
    <col min="41" max="41" width="11.44140625" bestFit="1" customWidth="1"/>
  </cols>
  <sheetData>
    <row r="2" spans="1:12" ht="18" x14ac:dyDescent="0.35">
      <c r="A2" s="12" t="s">
        <v>32</v>
      </c>
      <c r="B2" s="12"/>
      <c r="D2" s="12" t="s">
        <v>33</v>
      </c>
      <c r="E2" s="12"/>
      <c r="F2" s="5"/>
      <c r="G2" s="12" t="s">
        <v>34</v>
      </c>
      <c r="H2" s="12"/>
      <c r="J2" s="12" t="s">
        <v>35</v>
      </c>
      <c r="K2" s="12"/>
    </row>
    <row r="3" spans="1:12" x14ac:dyDescent="0.3">
      <c r="A3" s="4" t="s">
        <v>36</v>
      </c>
      <c r="B3" t="s">
        <v>37</v>
      </c>
      <c r="D3" s="6" t="s">
        <v>2</v>
      </c>
      <c r="E3" s="5" t="s">
        <v>38</v>
      </c>
      <c r="G3" s="6" t="s">
        <v>1</v>
      </c>
      <c r="H3" s="5" t="s">
        <v>39</v>
      </c>
      <c r="J3" s="6" t="s">
        <v>2</v>
      </c>
      <c r="K3" s="5" t="s">
        <v>40</v>
      </c>
    </row>
    <row r="4" spans="1:12" x14ac:dyDescent="0.3">
      <c r="A4" t="s">
        <v>19</v>
      </c>
      <c r="B4" s="13">
        <v>12</v>
      </c>
      <c r="D4" s="5" t="s">
        <v>25</v>
      </c>
      <c r="E4" s="7">
        <v>7.7484999999999999</v>
      </c>
      <c r="G4" s="5" t="s">
        <v>13</v>
      </c>
      <c r="H4" s="14">
        <v>20</v>
      </c>
      <c r="J4" s="5" t="s">
        <v>25</v>
      </c>
      <c r="K4" s="14">
        <v>20</v>
      </c>
    </row>
    <row r="5" spans="1:12" x14ac:dyDescent="0.3">
      <c r="A5" t="s">
        <v>15</v>
      </c>
      <c r="B5" s="13">
        <v>88</v>
      </c>
      <c r="D5" s="5" t="s">
        <v>31</v>
      </c>
      <c r="E5" s="7">
        <v>7.7047368421052642</v>
      </c>
      <c r="G5" s="5" t="s">
        <v>21</v>
      </c>
      <c r="H5" s="14">
        <v>21</v>
      </c>
      <c r="J5" s="5" t="s">
        <v>31</v>
      </c>
      <c r="K5" s="14">
        <v>19</v>
      </c>
    </row>
    <row r="6" spans="1:12" x14ac:dyDescent="0.3">
      <c r="A6" t="s">
        <v>41</v>
      </c>
      <c r="B6" s="13">
        <v>100</v>
      </c>
      <c r="D6" s="5" t="s">
        <v>28</v>
      </c>
      <c r="E6" s="7">
        <v>6.4385000000000003</v>
      </c>
      <c r="G6" s="5" t="s">
        <v>24</v>
      </c>
      <c r="H6" s="14">
        <v>20</v>
      </c>
      <c r="J6" s="5" t="s">
        <v>28</v>
      </c>
      <c r="K6" s="14">
        <v>20</v>
      </c>
    </row>
    <row r="7" spans="1:12" x14ac:dyDescent="0.3">
      <c r="D7" s="5" t="s">
        <v>22</v>
      </c>
      <c r="E7" s="7">
        <v>7.5680952380952373</v>
      </c>
      <c r="G7" s="5" t="s">
        <v>27</v>
      </c>
      <c r="H7" s="14">
        <v>20</v>
      </c>
      <c r="J7" s="5" t="s">
        <v>22</v>
      </c>
      <c r="K7" s="14">
        <v>21</v>
      </c>
    </row>
    <row r="8" spans="1:12" x14ac:dyDescent="0.3">
      <c r="D8" s="5" t="s">
        <v>14</v>
      </c>
      <c r="E8" s="7">
        <v>7.2629999999999999</v>
      </c>
      <c r="G8" s="5" t="s">
        <v>30</v>
      </c>
      <c r="H8" s="14">
        <v>19</v>
      </c>
      <c r="J8" s="5" t="s">
        <v>14</v>
      </c>
      <c r="K8" s="14">
        <v>20</v>
      </c>
    </row>
    <row r="9" spans="1:12" x14ac:dyDescent="0.3">
      <c r="D9" s="5" t="s">
        <v>41</v>
      </c>
      <c r="E9" s="7">
        <v>7.3432000000000004</v>
      </c>
      <c r="G9" s="5" t="s">
        <v>41</v>
      </c>
      <c r="H9" s="14">
        <v>100</v>
      </c>
    </row>
    <row r="10" spans="1:12" x14ac:dyDescent="0.3">
      <c r="D10" s="5"/>
      <c r="E10" s="5"/>
    </row>
    <row r="11" spans="1:12" ht="18" x14ac:dyDescent="0.35">
      <c r="A11" s="12" t="s">
        <v>42</v>
      </c>
      <c r="B11" s="12"/>
      <c r="C11" s="12"/>
      <c r="E11" s="12" t="s">
        <v>43</v>
      </c>
      <c r="F11" s="12"/>
    </row>
    <row r="12" spans="1:12" ht="18" x14ac:dyDescent="0.35">
      <c r="A12" s="4" t="s">
        <v>37</v>
      </c>
      <c r="B12" s="4" t="s">
        <v>8</v>
      </c>
      <c r="E12" s="4" t="s">
        <v>9</v>
      </c>
      <c r="F12" t="s">
        <v>37</v>
      </c>
      <c r="K12" s="12" t="s">
        <v>49</v>
      </c>
      <c r="L12" s="12"/>
    </row>
    <row r="13" spans="1:12" ht="18" x14ac:dyDescent="0.35">
      <c r="A13" s="4" t="s">
        <v>2</v>
      </c>
      <c r="B13" t="s">
        <v>19</v>
      </c>
      <c r="C13" t="s">
        <v>15</v>
      </c>
      <c r="E13" t="s">
        <v>17</v>
      </c>
      <c r="F13" s="13">
        <v>39</v>
      </c>
      <c r="I13" s="10"/>
      <c r="K13" t="s">
        <v>37</v>
      </c>
    </row>
    <row r="14" spans="1:12" ht="15.6" x14ac:dyDescent="0.3">
      <c r="A14" t="s">
        <v>25</v>
      </c>
      <c r="B14" s="13">
        <v>2</v>
      </c>
      <c r="C14" s="13">
        <v>18</v>
      </c>
      <c r="E14" t="s">
        <v>16</v>
      </c>
      <c r="F14" s="13">
        <v>32</v>
      </c>
      <c r="H14" s="11" t="s">
        <v>48</v>
      </c>
      <c r="I14" s="11"/>
      <c r="K14" s="13">
        <v>100</v>
      </c>
    </row>
    <row r="15" spans="1:12" x14ac:dyDescent="0.3">
      <c r="A15" t="s">
        <v>31</v>
      </c>
      <c r="B15" s="13">
        <v>1</v>
      </c>
      <c r="C15" s="13">
        <v>18</v>
      </c>
      <c r="E15" t="s">
        <v>18</v>
      </c>
      <c r="F15" s="13">
        <v>29</v>
      </c>
      <c r="H15" s="4" t="s">
        <v>44</v>
      </c>
      <c r="I15" t="s">
        <v>47</v>
      </c>
    </row>
    <row r="16" spans="1:12" x14ac:dyDescent="0.3">
      <c r="A16" t="s">
        <v>28</v>
      </c>
      <c r="B16" s="13">
        <v>5</v>
      </c>
      <c r="C16" s="13">
        <v>15</v>
      </c>
      <c r="E16" t="s">
        <v>41</v>
      </c>
      <c r="F16" s="13">
        <v>100</v>
      </c>
      <c r="H16" s="9" t="s">
        <v>45</v>
      </c>
      <c r="I16" s="13">
        <v>64</v>
      </c>
    </row>
    <row r="17" spans="1:11" x14ac:dyDescent="0.3">
      <c r="A17" t="s">
        <v>22</v>
      </c>
      <c r="B17" s="13">
        <v>2</v>
      </c>
      <c r="C17" s="13">
        <v>19</v>
      </c>
      <c r="H17" s="9" t="s">
        <v>46</v>
      </c>
      <c r="I17" s="13">
        <v>36</v>
      </c>
      <c r="K17" s="8" t="s">
        <v>37</v>
      </c>
    </row>
    <row r="18" spans="1:11" x14ac:dyDescent="0.3">
      <c r="A18" t="s">
        <v>14</v>
      </c>
      <c r="B18" s="13">
        <v>2</v>
      </c>
      <c r="C18" s="13">
        <v>18</v>
      </c>
      <c r="H18" s="9" t="s">
        <v>41</v>
      </c>
      <c r="I18" s="13">
        <v>100</v>
      </c>
      <c r="K18">
        <f>GETPIVOTDATA("EmployeeID",$K$13)</f>
        <v>100</v>
      </c>
    </row>
    <row r="19" spans="1:11" x14ac:dyDescent="0.3">
      <c r="A19" t="s">
        <v>41</v>
      </c>
      <c r="B19" s="13">
        <v>12</v>
      </c>
      <c r="C19" s="13">
        <v>88</v>
      </c>
    </row>
  </sheetData>
  <mergeCells count="8">
    <mergeCell ref="H14:I14"/>
    <mergeCell ref="K12:L12"/>
    <mergeCell ref="A2:B2"/>
    <mergeCell ref="G2:H2"/>
    <mergeCell ref="J2:K2"/>
    <mergeCell ref="D2:E2"/>
    <mergeCell ref="A11:C11"/>
    <mergeCell ref="E11:F11"/>
  </mergeCells>
  <pageMargins left="0.7" right="0.7" top="0.75" bottom="0.75" header="0.3" footer="0.3"/>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2CD01E-86B5-4364-BF74-BC93E43CAC19}">
  <sheetPr codeName="Sheet3"/>
  <dimension ref="H11"/>
  <sheetViews>
    <sheetView showGridLines="0" tabSelected="1" zoomScale="79" zoomScaleNormal="85" workbookViewId="0">
      <selection activeCell="Z18" sqref="Z18"/>
    </sheetView>
  </sheetViews>
  <sheetFormatPr defaultRowHeight="14.4" x14ac:dyDescent="0.3"/>
  <sheetData>
    <row r="11" spans="8:8" x14ac:dyDescent="0.3">
      <c r="H11">
        <f>Pivot!H11</f>
        <v>0</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vt:lpstr>
      <vt:lpstr>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Harika B</dc:creator>
  <cp:keywords/>
  <dc:description/>
  <cp:lastModifiedBy>Harika B</cp:lastModifiedBy>
  <cp:revision/>
  <dcterms:created xsi:type="dcterms:W3CDTF">2025-09-12T10:18:22Z</dcterms:created>
  <dcterms:modified xsi:type="dcterms:W3CDTF">2025-09-13T14:56:29Z</dcterms:modified>
  <cp:category/>
  <cp:contentStatus/>
</cp:coreProperties>
</file>